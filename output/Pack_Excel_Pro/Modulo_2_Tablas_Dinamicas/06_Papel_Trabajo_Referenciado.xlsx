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sca/Code/projects/excel-course-for-accountants/output/Pack_Excel_Pro/Modulo_2_Tablas_Dinamicas/"/>
    </mc:Choice>
  </mc:AlternateContent>
  <xr:revisionPtr revIDLastSave="0" documentId="13_ncr:1_{08682B87-B57D-AE40-B0C6-DE2F75EA4E9F}" xr6:coauthVersionLast="47" xr6:coauthVersionMax="47" xr10:uidLastSave="{00000000-0000-0000-0000-000000000000}"/>
  <bookViews>
    <workbookView xWindow="0" yWindow="500" windowWidth="28800" windowHeight="16040" activeTab="1" xr2:uid="{00000000-000D-0000-FFFF-FFFF00000000}"/>
  </bookViews>
  <sheets>
    <sheet name="Tarifa_Anual_2026" sheetId="1" r:id="rId1"/>
    <sheet name="Papel_Trabajo" sheetId="2" r:id="rId2"/>
    <sheet name="Instruc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C25" i="2" s="1"/>
  <c r="C10" i="2"/>
  <c r="C24" i="2" s="1"/>
  <c r="C26" i="2" s="1"/>
  <c r="C29" i="2" s="1"/>
  <c r="C32" i="2" l="1"/>
  <c r="C34" i="2"/>
  <c r="C30" i="2"/>
  <c r="C31" i="2" s="1"/>
  <c r="C33" i="2" s="1"/>
  <c r="C35" i="2" s="1"/>
  <c r="C38" i="2" s="1"/>
  <c r="C41" i="2" s="1"/>
</calcChain>
</file>

<file path=xl/sharedStrings.xml><?xml version="1.0" encoding="utf-8"?>
<sst xmlns="http://schemas.openxmlformats.org/spreadsheetml/2006/main" count="88" uniqueCount="88">
  <si>
    <t>Tarifa ISR Anual 2026 -- Art. 152 LISR (Anexo 8 RMF)</t>
  </si>
  <si>
    <t>Limite Inferior</t>
  </si>
  <si>
    <t>Limite Superior</t>
  </si>
  <si>
    <t>Cuota Fija</t>
  </si>
  <si>
    <t>% Sobre Excedente</t>
  </si>
  <si>
    <t>En adelante</t>
  </si>
  <si>
    <t>PAPEL DE TRABAJO - DECLARACION ANUAL ISR 2026</t>
  </si>
  <si>
    <t>Contribuyente: [NOMBRE O RAZON SOCIAL]</t>
  </si>
  <si>
    <t>RFC: [RFC DEL CONTRIBUYENTE]   |   Ejercicio: 2026</t>
  </si>
  <si>
    <t>I. INGRESOS ACUMULABLES</t>
  </si>
  <si>
    <t>Sueldos y salarios gravados</t>
  </si>
  <si>
    <t>Vincula con Pivot: Suma de ImporteGravado donde Clase=Percepcion</t>
  </si>
  <si>
    <t>Ingresos asimilados a salarios</t>
  </si>
  <si>
    <t>Si aplica, sumar concepto 046-Asimilados</t>
  </si>
  <si>
    <t>Otros ingresos acumulables</t>
  </si>
  <si>
    <t>Honorarios, arrendamiento, actividad empresarial, etc.</t>
  </si>
  <si>
    <t>TOTAL INGRESOS ACUMULABLES</t>
  </si>
  <si>
    <t>Suma de todos los ingresos</t>
  </si>
  <si>
    <t>II. DEDUCCIONES PERSONALES (Art. 151 LISR)</t>
  </si>
  <si>
    <t>Gastos medicos, dentales y hospitalarios</t>
  </si>
  <si>
    <t>Maximo 15% de ingresos o 5 UMAs anuales</t>
  </si>
  <si>
    <t>Gastos funerarios</t>
  </si>
  <si>
    <t>Hasta 1 UMA anual ($41,297)</t>
  </si>
  <si>
    <t>Donativos</t>
  </si>
  <si>
    <t>Hasta 7% de ingresos acumulables del ejercicio anterior</t>
  </si>
  <si>
    <t>Intereses reales hipotecarios</t>
  </si>
  <si>
    <t>Creditos contratados con SOFOMES/bancos</t>
  </si>
  <si>
    <t>Aportaciones voluntarias al retiro</t>
  </si>
  <si>
    <t>Hasta 10% de ingresos o 5 UMAs anuales</t>
  </si>
  <si>
    <t>Primas por seguros de gastos medicos</t>
  </si>
  <si>
    <t>Pagos complementarios al IMSS</t>
  </si>
  <si>
    <t>Transporte escolar obligatorio</t>
  </si>
  <si>
    <t>Solo si es obligatorio por la escuela</t>
  </si>
  <si>
    <t>Colegiaturas (estimulo fiscal)</t>
  </si>
  <si>
    <t>Preescolar $14,200; Primaria $12,900; Secundaria $19,900</t>
  </si>
  <si>
    <t>TOTAL DEDUCCIONES PERSONALES</t>
  </si>
  <si>
    <t>Tope: 15% de ingresos o 5 UMAs anuales (lo menor)</t>
  </si>
  <si>
    <t>III. BASE GRAVABLE</t>
  </si>
  <si>
    <t>Total Ingresos Acumulables</t>
  </si>
  <si>
    <t>Referencia a seccion I</t>
  </si>
  <si>
    <t>(-) Total Deducciones Personales</t>
  </si>
  <si>
    <t>Referencia a seccion II</t>
  </si>
  <si>
    <t>BASE GRAVABLE DEL EJERCICIO</t>
  </si>
  <si>
    <t>No puede ser negativa</t>
  </si>
  <si>
    <t>IV. CALCULO DEL ISR (Art. 152 LISR)</t>
  </si>
  <si>
    <t>Base Gravable</t>
  </si>
  <si>
    <t>De seccion III</t>
  </si>
  <si>
    <t>Limite Inferior (BUSCARV)</t>
  </si>
  <si>
    <t>BUSCARV aproximado en la tarifa</t>
  </si>
  <si>
    <t>Excedente sobre Limite Inferior</t>
  </si>
  <si>
    <t>Base Gravable - Limite Inferior</t>
  </si>
  <si>
    <t>% Sobre Excedente (BUSCARV)</t>
  </si>
  <si>
    <t>Porcentaje marginal de la tarifa</t>
  </si>
  <si>
    <t>ISR Marginal</t>
  </si>
  <si>
    <t>Excedente x Porcentaje</t>
  </si>
  <si>
    <t>Cuota Fija (BUSCARV)</t>
  </si>
  <si>
    <t>Cuota fija de la tarifa</t>
  </si>
  <si>
    <t>ISR CAUSADO DEL EJERCICIO</t>
  </si>
  <si>
    <t>ISR Marginal + Cuota Fija</t>
  </si>
  <si>
    <t>V. DETERMINACION DEL ISR A CARGO O A FAVOR</t>
  </si>
  <si>
    <t>ISR Causado del Ejercicio</t>
  </si>
  <si>
    <t>De seccion IV</t>
  </si>
  <si>
    <t>(-) Retenciones de ISR en el ejercicio</t>
  </si>
  <si>
    <t>Vincula con Pivot: Suma de Deduccion ISR del ejercicio</t>
  </si>
  <si>
    <t>(-) Pagos provisionales efectuados</t>
  </si>
  <si>
    <t>Solo si realizaste pagos provisionales (Cap. II, III, IV LISR)</t>
  </si>
  <si>
    <t>ISR A CARGO (+) O A FAVOR (-)</t>
  </si>
  <si>
    <t>Positivo = a cargo; Negativo = a favor (solicitar devolucion)</t>
  </si>
  <si>
    <t>Nota: Las celdas amarillas son de captura manual. Las verdes se calculan automaticamente con formulas.</t>
  </si>
  <si>
    <t>Las formulas BUSCARV buscan en la tabla 'Tarifa_ISR_Anual' de la hoja Tarifa_Anual_2026.</t>
  </si>
  <si>
    <t>📋 Instrucciones</t>
  </si>
  <si>
    <t>Este papel de trabajo calcula el ISR anual usando la tarifa 2026 (Art. 152 LISR).</t>
  </si>
  <si>
    <t>Las celdas AMARILLAS son de captura: ingresa ahi los montos de tus ingresos y deducciones.</t>
  </si>
  <si>
    <t>Las celdas VERDES se calculan automaticamente con formulas.</t>
  </si>
  <si>
    <t xml:space="preserve"> === VINCULACION CON TABLAS DINAMICAS ===</t>
  </si>
  <si>
    <t>1. Abre el archivo 05_Analisis_Nomina_XML_Pivot.xlsx.</t>
  </si>
  <si>
    <t>2. Crea una Tabla Dinamica que sume ImporteGravado por Clase.</t>
  </si>
  <si>
    <t>3. Copia el total de 'Percepcion' en la celda 'Sueldos y salarios gravados' (C7).</t>
  </si>
  <si>
    <t>4. Copia el total de 'Deduccion' con concepto ISR en 'Retenciones de ISR' (seccion V).</t>
  </si>
  <si>
    <t>5. Observa como el papel de trabajo calcula automaticamente el ISR a cargo o a favor.</t>
  </si>
  <si>
    <t xml:space="preserve"> === FORMULAS CLAVE ===</t>
  </si>
  <si>
    <t>BUSCARV (VLOOKUP): Busca el limite inferior, cuota fija y porcentaje en la tarifa.</t>
  </si>
  <si>
    <t>SI.ERROR (IFERROR): Envuelve BUSCARV para evitar errores si la celda esta vacia.</t>
  </si>
  <si>
    <t>MAX(0, valor): Asegura que la base gravable no sea negativa.</t>
  </si>
  <si>
    <t xml:space="preserve"> === PARA EL INSTRUCTOR ===</t>
  </si>
  <si>
    <t>Este formato replica el calculo que hace el SAT en la declaracion anual.</t>
  </si>
  <si>
    <t>Es ideal para mostrar la relacion entre tablas dinamicas y papeles de trabajo.</t>
  </si>
  <si>
    <t>Los alumnos pueden verificar sus resultados contra el simulador del SAT.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</si>
</sst>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2563EB"/>
      <name val="Calibri"/>
      <family val="2"/>
    </font>
    <font>
      <b/>
      <sz val="12"/>
      <color rgb="FF1E293B"/>
      <name val="Calibri"/>
      <family val="2"/>
    </font>
    <font>
      <sz val="9"/>
      <color rgb="FF475569"/>
      <name val="Calibri"/>
      <family val="2"/>
    </font>
    <font>
      <b/>
      <sz val="12"/>
      <color rgb="FF2563EB"/>
      <name val="Calibri"/>
      <family val="2"/>
    </font>
    <font>
      <sz val="11"/>
      <color rgb="FF1E293B"/>
      <name val="Calibri"/>
      <family val="2"/>
    </font>
    <font>
      <b/>
      <sz val="11"/>
      <color rgb="FF0061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4" fontId="0" fillId="0" borderId="0" xfId="0" applyNumberFormat="1"/>
    <xf numFmtId="10" fontId="0" fillId="0" borderId="0" xfId="0" applyNumberFormat="1"/>
    <xf numFmtId="0" fontId="5" fillId="0" borderId="2" xfId="0" applyFont="1" applyBorder="1" applyAlignment="1">
      <alignment horizontal="left" vertical="center" wrapText="1"/>
    </xf>
    <xf numFmtId="4" fontId="2" fillId="3" borderId="2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4" fontId="6" fillId="4" borderId="2" xfId="0" applyNumberFormat="1" applyFont="1" applyFill="1" applyBorder="1" applyAlignment="1">
      <alignment horizontal="right" vertical="center"/>
    </xf>
    <xf numFmtId="4" fontId="5" fillId="0" borderId="2" xfId="0" applyNumberFormat="1" applyFont="1" applyBorder="1" applyAlignment="1">
      <alignment horizontal="right" vertical="center"/>
    </xf>
    <xf numFmtId="10" fontId="5" fillId="0" borderId="2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rifa_ISR_Anual" displayName="Tarifa_ISR_Anual" ref="A3:D14">
  <autoFilter ref="A3:D14" xr:uid="{00000000-0009-0000-0100-000001000000}"/>
  <tableColumns count="4">
    <tableColumn id="1" xr3:uid="{00000000-0010-0000-0000-000001000000}" name="Limite Inferior"/>
    <tableColumn id="2" xr3:uid="{00000000-0010-0000-0000-000002000000}" name="Limite Superior"/>
    <tableColumn id="3" xr3:uid="{00000000-0010-0000-0000-000003000000}" name="Cuota Fija"/>
    <tableColumn id="4" xr3:uid="{00000000-0010-0000-0000-000004000000}" name="% Sobre Exceden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sqref="A1:F1"/>
    </sheetView>
  </sheetViews>
  <sheetFormatPr baseColWidth="10" defaultColWidth="8.83203125" defaultRowHeight="15" x14ac:dyDescent="0.2"/>
  <cols>
    <col min="1" max="1" width="23.83203125" customWidth="1"/>
    <col min="2" max="2" width="17" customWidth="1"/>
    <col min="3" max="3" width="12" customWidth="1"/>
    <col min="4" max="4" width="21" customWidth="1"/>
    <col min="5" max="6" width="10" customWidth="1"/>
  </cols>
  <sheetData>
    <row r="1" spans="1:6" x14ac:dyDescent="0.2">
      <c r="A1" s="10" t="s">
        <v>0</v>
      </c>
      <c r="B1" s="11"/>
      <c r="C1" s="11"/>
      <c r="D1" s="11"/>
      <c r="E1" s="11"/>
      <c r="F1" s="11"/>
    </row>
    <row r="3" spans="1:6" x14ac:dyDescent="0.2">
      <c r="A3" t="s">
        <v>1</v>
      </c>
      <c r="B3" t="s">
        <v>2</v>
      </c>
      <c r="C3" t="s">
        <v>3</v>
      </c>
      <c r="D3" t="s">
        <v>4</v>
      </c>
    </row>
    <row r="4" spans="1:6" x14ac:dyDescent="0.2">
      <c r="A4" s="1">
        <v>0.01</v>
      </c>
      <c r="B4" s="1">
        <v>10135.11</v>
      </c>
      <c r="C4" s="1">
        <v>0</v>
      </c>
      <c r="D4" s="2">
        <v>1.9199999999999998E-2</v>
      </c>
    </row>
    <row r="5" spans="1:6" x14ac:dyDescent="0.2">
      <c r="A5" s="1">
        <v>10135.120000000001</v>
      </c>
      <c r="B5" s="1">
        <v>86022.11</v>
      </c>
      <c r="C5" s="1">
        <v>194.59</v>
      </c>
      <c r="D5" s="2">
        <v>6.4000000000000001E-2</v>
      </c>
    </row>
    <row r="6" spans="1:6" x14ac:dyDescent="0.2">
      <c r="A6" s="1">
        <v>86022.12</v>
      </c>
      <c r="B6" s="1">
        <v>151176.19</v>
      </c>
      <c r="C6" s="1">
        <v>5051.37</v>
      </c>
      <c r="D6" s="2">
        <v>0.10879999999999999</v>
      </c>
    </row>
    <row r="7" spans="1:6" x14ac:dyDescent="0.2">
      <c r="A7" s="1">
        <v>151176.20000000001</v>
      </c>
      <c r="B7" s="1">
        <v>175735.66</v>
      </c>
      <c r="C7" s="1">
        <v>12140.13</v>
      </c>
      <c r="D7" s="2">
        <v>0.16</v>
      </c>
    </row>
    <row r="8" spans="1:6" x14ac:dyDescent="0.2">
      <c r="A8" s="1">
        <v>175735.67</v>
      </c>
      <c r="B8" s="1">
        <v>210403.69</v>
      </c>
      <c r="C8" s="1">
        <v>16069.64</v>
      </c>
      <c r="D8" s="2">
        <v>0.1792</v>
      </c>
    </row>
    <row r="9" spans="1:6" x14ac:dyDescent="0.2">
      <c r="A9" s="1">
        <v>210403.7</v>
      </c>
      <c r="B9" s="1">
        <v>424353.97</v>
      </c>
      <c r="C9" s="1">
        <v>22282.14</v>
      </c>
      <c r="D9" s="2">
        <v>0.21360000000000001</v>
      </c>
    </row>
    <row r="10" spans="1:6" x14ac:dyDescent="0.2">
      <c r="A10" s="1">
        <v>424353.98</v>
      </c>
      <c r="B10" s="1">
        <v>668840.14</v>
      </c>
      <c r="C10" s="1">
        <v>67981.919999999998</v>
      </c>
      <c r="D10" s="2">
        <v>0.23519999999999999</v>
      </c>
    </row>
    <row r="11" spans="1:6" x14ac:dyDescent="0.2">
      <c r="A11" s="1">
        <v>668840.15</v>
      </c>
      <c r="B11" s="1">
        <v>1276925.98</v>
      </c>
      <c r="C11" s="1">
        <v>125485.07</v>
      </c>
      <c r="D11" s="2">
        <v>0.3</v>
      </c>
    </row>
    <row r="12" spans="1:6" x14ac:dyDescent="0.2">
      <c r="A12" s="1">
        <v>1276925.99</v>
      </c>
      <c r="B12" s="1">
        <v>1702567.97</v>
      </c>
      <c r="C12" s="1">
        <v>307910.81</v>
      </c>
      <c r="D12" s="2">
        <v>0.32</v>
      </c>
    </row>
    <row r="13" spans="1:6" x14ac:dyDescent="0.2">
      <c r="A13" s="1">
        <v>1702567.98</v>
      </c>
      <c r="B13" s="1">
        <v>5107703.92</v>
      </c>
      <c r="C13" s="1">
        <v>444116.23</v>
      </c>
      <c r="D13" s="2">
        <v>0.34</v>
      </c>
    </row>
    <row r="14" spans="1:6" x14ac:dyDescent="0.2">
      <c r="A14" s="1">
        <v>5107703.93</v>
      </c>
      <c r="B14" s="1" t="s">
        <v>5</v>
      </c>
      <c r="C14" s="1">
        <v>1601862.46</v>
      </c>
      <c r="D14" s="2">
        <v>0.35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5"/>
  <sheetViews>
    <sheetView tabSelected="1" workbookViewId="0">
      <selection activeCell="B45" sqref="B45:D45"/>
    </sheetView>
  </sheetViews>
  <sheetFormatPr baseColWidth="10" defaultColWidth="8.83203125" defaultRowHeight="15" x14ac:dyDescent="0.2"/>
  <cols>
    <col min="1" max="1" width="3" customWidth="1"/>
    <col min="2" max="2" width="48" customWidth="1"/>
    <col min="3" max="3" width="22" customWidth="1"/>
    <col min="4" max="4" width="55" customWidth="1"/>
  </cols>
  <sheetData>
    <row r="2" spans="2:4" x14ac:dyDescent="0.2">
      <c r="B2" s="17" t="s">
        <v>6</v>
      </c>
      <c r="C2" s="11"/>
      <c r="D2" s="11"/>
    </row>
    <row r="3" spans="2:4" x14ac:dyDescent="0.2">
      <c r="B3" s="14" t="s">
        <v>7</v>
      </c>
      <c r="C3" s="11"/>
      <c r="D3" s="11"/>
    </row>
    <row r="4" spans="2:4" x14ac:dyDescent="0.2">
      <c r="B4" s="16" t="s">
        <v>8</v>
      </c>
      <c r="C4" s="11"/>
      <c r="D4" s="11"/>
    </row>
    <row r="6" spans="2:4" x14ac:dyDescent="0.2">
      <c r="B6" s="12" t="s">
        <v>9</v>
      </c>
      <c r="C6" s="13"/>
      <c r="D6" s="13"/>
    </row>
    <row r="7" spans="2:4" ht="16" x14ac:dyDescent="0.2">
      <c r="B7" s="3" t="s">
        <v>10</v>
      </c>
      <c r="C7" s="4">
        <v>0</v>
      </c>
      <c r="D7" s="5" t="s">
        <v>11</v>
      </c>
    </row>
    <row r="8" spans="2:4" ht="16" x14ac:dyDescent="0.2">
      <c r="B8" s="3" t="s">
        <v>12</v>
      </c>
      <c r="C8" s="4">
        <v>0</v>
      </c>
      <c r="D8" s="5" t="s">
        <v>13</v>
      </c>
    </row>
    <row r="9" spans="2:4" ht="16" x14ac:dyDescent="0.2">
      <c r="B9" s="3" t="s">
        <v>14</v>
      </c>
      <c r="C9" s="4">
        <v>0</v>
      </c>
      <c r="D9" s="5" t="s">
        <v>15</v>
      </c>
    </row>
    <row r="10" spans="2:4" ht="16" x14ac:dyDescent="0.2">
      <c r="B10" s="3" t="s">
        <v>16</v>
      </c>
      <c r="C10" s="6">
        <f>SUM(C7:C9)</f>
        <v>0</v>
      </c>
      <c r="D10" s="5" t="s">
        <v>17</v>
      </c>
    </row>
    <row r="12" spans="2:4" x14ac:dyDescent="0.2">
      <c r="B12" s="12" t="s">
        <v>18</v>
      </c>
      <c r="C12" s="13"/>
      <c r="D12" s="13"/>
    </row>
    <row r="13" spans="2:4" ht="16" x14ac:dyDescent="0.2">
      <c r="B13" s="3" t="s">
        <v>19</v>
      </c>
      <c r="C13" s="4">
        <v>0</v>
      </c>
      <c r="D13" s="5" t="s">
        <v>20</v>
      </c>
    </row>
    <row r="14" spans="2:4" ht="16" x14ac:dyDescent="0.2">
      <c r="B14" s="3" t="s">
        <v>21</v>
      </c>
      <c r="C14" s="4">
        <v>0</v>
      </c>
      <c r="D14" s="5" t="s">
        <v>22</v>
      </c>
    </row>
    <row r="15" spans="2:4" ht="16" x14ac:dyDescent="0.2">
      <c r="B15" s="3" t="s">
        <v>23</v>
      </c>
      <c r="C15" s="4">
        <v>0</v>
      </c>
      <c r="D15" s="5" t="s">
        <v>24</v>
      </c>
    </row>
    <row r="16" spans="2:4" ht="16" x14ac:dyDescent="0.2">
      <c r="B16" s="3" t="s">
        <v>25</v>
      </c>
      <c r="C16" s="4">
        <v>0</v>
      </c>
      <c r="D16" s="5" t="s">
        <v>26</v>
      </c>
    </row>
    <row r="17" spans="2:4" ht="16" x14ac:dyDescent="0.2">
      <c r="B17" s="3" t="s">
        <v>27</v>
      </c>
      <c r="C17" s="4">
        <v>0</v>
      </c>
      <c r="D17" s="5" t="s">
        <v>28</v>
      </c>
    </row>
    <row r="18" spans="2:4" ht="16" x14ac:dyDescent="0.2">
      <c r="B18" s="3" t="s">
        <v>29</v>
      </c>
      <c r="C18" s="4">
        <v>0</v>
      </c>
      <c r="D18" s="5" t="s">
        <v>30</v>
      </c>
    </row>
    <row r="19" spans="2:4" ht="16" x14ac:dyDescent="0.2">
      <c r="B19" s="3" t="s">
        <v>31</v>
      </c>
      <c r="C19" s="4">
        <v>0</v>
      </c>
      <c r="D19" s="5" t="s">
        <v>32</v>
      </c>
    </row>
    <row r="20" spans="2:4" ht="16" x14ac:dyDescent="0.2">
      <c r="B20" s="3" t="s">
        <v>33</v>
      </c>
      <c r="C20" s="4">
        <v>0</v>
      </c>
      <c r="D20" s="5" t="s">
        <v>34</v>
      </c>
    </row>
    <row r="21" spans="2:4" ht="16" x14ac:dyDescent="0.2">
      <c r="B21" s="3" t="s">
        <v>35</v>
      </c>
      <c r="C21" s="6">
        <f>SUM(C13:C20)</f>
        <v>0</v>
      </c>
      <c r="D21" s="5" t="s">
        <v>36</v>
      </c>
    </row>
    <row r="23" spans="2:4" x14ac:dyDescent="0.2">
      <c r="B23" s="12" t="s">
        <v>37</v>
      </c>
      <c r="C23" s="13"/>
      <c r="D23" s="13"/>
    </row>
    <row r="24" spans="2:4" ht="16" x14ac:dyDescent="0.2">
      <c r="B24" s="3" t="s">
        <v>38</v>
      </c>
      <c r="C24" s="7">
        <f>C10</f>
        <v>0</v>
      </c>
      <c r="D24" s="5" t="s">
        <v>39</v>
      </c>
    </row>
    <row r="25" spans="2:4" ht="16" x14ac:dyDescent="0.2">
      <c r="B25" s="3" t="s">
        <v>40</v>
      </c>
      <c r="C25" s="7">
        <f>C21</f>
        <v>0</v>
      </c>
      <c r="D25" s="5" t="s">
        <v>41</v>
      </c>
    </row>
    <row r="26" spans="2:4" ht="16" x14ac:dyDescent="0.2">
      <c r="B26" s="3" t="s">
        <v>42</v>
      </c>
      <c r="C26" s="6">
        <f>MAX(0,C24-C25)</f>
        <v>0</v>
      </c>
      <c r="D26" s="5" t="s">
        <v>43</v>
      </c>
    </row>
    <row r="28" spans="2:4" x14ac:dyDescent="0.2">
      <c r="B28" s="12" t="s">
        <v>44</v>
      </c>
      <c r="C28" s="13"/>
      <c r="D28" s="13"/>
    </row>
    <row r="29" spans="2:4" ht="16" x14ac:dyDescent="0.2">
      <c r="B29" s="3" t="s">
        <v>45</v>
      </c>
      <c r="C29" s="7">
        <f>C26</f>
        <v>0</v>
      </c>
      <c r="D29" s="5" t="s">
        <v>46</v>
      </c>
    </row>
    <row r="30" spans="2:4" ht="16" x14ac:dyDescent="0.2">
      <c r="B30" s="3" t="s">
        <v>47</v>
      </c>
      <c r="C30" s="7">
        <f>IFERROR(VLOOKUP(C29,Tarifa_ISR_Anual,1,TRUE),0)</f>
        <v>0</v>
      </c>
      <c r="D30" s="5" t="s">
        <v>48</v>
      </c>
    </row>
    <row r="31" spans="2:4" ht="16" x14ac:dyDescent="0.2">
      <c r="B31" s="3" t="s">
        <v>49</v>
      </c>
      <c r="C31" s="7">
        <f>C29-C30</f>
        <v>0</v>
      </c>
      <c r="D31" s="5" t="s">
        <v>50</v>
      </c>
    </row>
    <row r="32" spans="2:4" ht="16" x14ac:dyDescent="0.2">
      <c r="B32" s="3" t="s">
        <v>51</v>
      </c>
      <c r="C32" s="8">
        <f>IFERROR(VLOOKUP(C29,Tarifa_ISR_Anual,4,TRUE),0)</f>
        <v>0</v>
      </c>
      <c r="D32" s="5" t="s">
        <v>52</v>
      </c>
    </row>
    <row r="33" spans="2:4" ht="16" x14ac:dyDescent="0.2">
      <c r="B33" s="3" t="s">
        <v>53</v>
      </c>
      <c r="C33" s="7">
        <f>C31*C32</f>
        <v>0</v>
      </c>
      <c r="D33" s="5" t="s">
        <v>54</v>
      </c>
    </row>
    <row r="34" spans="2:4" ht="16" x14ac:dyDescent="0.2">
      <c r="B34" s="3" t="s">
        <v>55</v>
      </c>
      <c r="C34" s="7">
        <f>IFERROR(VLOOKUP(C29,Tarifa_ISR_Anual,3,TRUE),0)</f>
        <v>0</v>
      </c>
      <c r="D34" s="5" t="s">
        <v>56</v>
      </c>
    </row>
    <row r="35" spans="2:4" ht="16" x14ac:dyDescent="0.2">
      <c r="B35" s="3" t="s">
        <v>57</v>
      </c>
      <c r="C35" s="6">
        <f>C33+C34</f>
        <v>0</v>
      </c>
      <c r="D35" s="5" t="s">
        <v>58</v>
      </c>
    </row>
    <row r="37" spans="2:4" x14ac:dyDescent="0.2">
      <c r="B37" s="12" t="s">
        <v>59</v>
      </c>
      <c r="C37" s="13"/>
      <c r="D37" s="13"/>
    </row>
    <row r="38" spans="2:4" ht="16" x14ac:dyDescent="0.2">
      <c r="B38" s="3" t="s">
        <v>60</v>
      </c>
      <c r="C38" s="7">
        <f>C35</f>
        <v>0</v>
      </c>
      <c r="D38" s="5" t="s">
        <v>61</v>
      </c>
    </row>
    <row r="39" spans="2:4" ht="16" x14ac:dyDescent="0.2">
      <c r="B39" s="3" t="s">
        <v>62</v>
      </c>
      <c r="C39" s="4">
        <v>0</v>
      </c>
      <c r="D39" s="5" t="s">
        <v>63</v>
      </c>
    </row>
    <row r="40" spans="2:4" ht="16" x14ac:dyDescent="0.2">
      <c r="B40" s="3" t="s">
        <v>64</v>
      </c>
      <c r="C40" s="4">
        <v>0</v>
      </c>
      <c r="D40" s="5" t="s">
        <v>65</v>
      </c>
    </row>
    <row r="41" spans="2:4" ht="16" x14ac:dyDescent="0.2">
      <c r="B41" s="3" t="s">
        <v>66</v>
      </c>
      <c r="C41" s="6">
        <f>C38-C39-C40</f>
        <v>0</v>
      </c>
      <c r="D41" s="5" t="s">
        <v>67</v>
      </c>
    </row>
    <row r="43" spans="2:4" x14ac:dyDescent="0.2">
      <c r="B43" s="15" t="s">
        <v>68</v>
      </c>
      <c r="C43" s="11"/>
      <c r="D43" s="11"/>
    </row>
    <row r="44" spans="2:4" x14ac:dyDescent="0.2">
      <c r="B44" s="15" t="s">
        <v>69</v>
      </c>
      <c r="C44" s="11"/>
      <c r="D44" s="11"/>
    </row>
    <row r="45" spans="2:4" x14ac:dyDescent="0.2">
      <c r="B45" s="15"/>
      <c r="C45" s="11"/>
      <c r="D45" s="11"/>
    </row>
  </sheetData>
  <mergeCells count="11">
    <mergeCell ref="B2:D2"/>
    <mergeCell ref="B28:D28"/>
    <mergeCell ref="B3:D3"/>
    <mergeCell ref="B37:D37"/>
    <mergeCell ref="B45:D45"/>
    <mergeCell ref="B23:D23"/>
    <mergeCell ref="B4:D4"/>
    <mergeCell ref="B44:D44"/>
    <mergeCell ref="B43:D43"/>
    <mergeCell ref="B12:D12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activeCell="B11" sqref="B11:H11"/>
    </sheetView>
  </sheetViews>
  <sheetFormatPr baseColWidth="10" defaultColWidth="8.83203125" defaultRowHeight="15" x14ac:dyDescent="0.2"/>
  <cols>
    <col min="1" max="1" width="5" customWidth="1"/>
    <col min="2" max="2" width="80" customWidth="1"/>
  </cols>
  <sheetData>
    <row r="1" spans="1:8" ht="30" customHeight="1" x14ac:dyDescent="0.2">
      <c r="A1" s="10" t="s">
        <v>70</v>
      </c>
      <c r="B1" s="11"/>
      <c r="C1" s="11"/>
      <c r="D1" s="11"/>
      <c r="E1" s="11"/>
      <c r="F1" s="11"/>
      <c r="G1" s="11"/>
      <c r="H1" s="11"/>
    </row>
    <row r="3" spans="1:8" ht="30" customHeight="1" x14ac:dyDescent="0.2">
      <c r="A3" s="9">
        <v>1</v>
      </c>
      <c r="B3" s="18" t="s">
        <v>71</v>
      </c>
      <c r="C3" s="11"/>
      <c r="D3" s="11"/>
      <c r="E3" s="11"/>
      <c r="F3" s="11"/>
      <c r="G3" s="11"/>
      <c r="H3" s="11"/>
    </row>
    <row r="4" spans="1:8" ht="30" customHeight="1" x14ac:dyDescent="0.2">
      <c r="A4" s="9">
        <v>2</v>
      </c>
      <c r="B4" s="18" t="s">
        <v>72</v>
      </c>
      <c r="C4" s="11"/>
      <c r="D4" s="11"/>
      <c r="E4" s="11"/>
      <c r="F4" s="11"/>
      <c r="G4" s="11"/>
      <c r="H4" s="11"/>
    </row>
    <row r="5" spans="1:8" ht="30" customHeight="1" x14ac:dyDescent="0.2">
      <c r="A5" s="9">
        <v>3</v>
      </c>
      <c r="B5" s="18" t="s">
        <v>73</v>
      </c>
      <c r="C5" s="11"/>
      <c r="D5" s="11"/>
      <c r="E5" s="11"/>
      <c r="F5" s="11"/>
      <c r="G5" s="11"/>
      <c r="H5" s="11"/>
    </row>
    <row r="6" spans="1:8" ht="30" customHeight="1" x14ac:dyDescent="0.2">
      <c r="A6" s="9">
        <v>4</v>
      </c>
      <c r="B6" s="18"/>
      <c r="C6" s="11"/>
      <c r="D6" s="11"/>
      <c r="E6" s="11"/>
      <c r="F6" s="11"/>
      <c r="G6" s="11"/>
      <c r="H6" s="11"/>
    </row>
    <row r="7" spans="1:8" ht="30" customHeight="1" x14ac:dyDescent="0.2">
      <c r="A7" s="9">
        <v>5</v>
      </c>
      <c r="B7" s="18" t="s">
        <v>74</v>
      </c>
      <c r="C7" s="11"/>
      <c r="D7" s="11"/>
      <c r="E7" s="11"/>
      <c r="F7" s="11"/>
      <c r="G7" s="11"/>
      <c r="H7" s="11"/>
    </row>
    <row r="8" spans="1:8" ht="30" customHeight="1" x14ac:dyDescent="0.2">
      <c r="A8" s="9">
        <v>6</v>
      </c>
      <c r="B8" s="18" t="s">
        <v>75</v>
      </c>
      <c r="C8" s="11"/>
      <c r="D8" s="11"/>
      <c r="E8" s="11"/>
      <c r="F8" s="11"/>
      <c r="G8" s="11"/>
      <c r="H8" s="11"/>
    </row>
    <row r="9" spans="1:8" ht="30" customHeight="1" x14ac:dyDescent="0.2">
      <c r="A9" s="9">
        <v>7</v>
      </c>
      <c r="B9" s="18" t="s">
        <v>76</v>
      </c>
      <c r="C9" s="11"/>
      <c r="D9" s="11"/>
      <c r="E9" s="11"/>
      <c r="F9" s="11"/>
      <c r="G9" s="11"/>
      <c r="H9" s="11"/>
    </row>
    <row r="10" spans="1:8" ht="30" customHeight="1" x14ac:dyDescent="0.2">
      <c r="A10" s="9">
        <v>8</v>
      </c>
      <c r="B10" s="18" t="s">
        <v>77</v>
      </c>
      <c r="C10" s="11"/>
      <c r="D10" s="11"/>
      <c r="E10" s="11"/>
      <c r="F10" s="11"/>
      <c r="G10" s="11"/>
      <c r="H10" s="11"/>
    </row>
    <row r="11" spans="1:8" ht="30" customHeight="1" x14ac:dyDescent="0.2">
      <c r="A11" s="9">
        <v>9</v>
      </c>
      <c r="B11" s="18" t="s">
        <v>78</v>
      </c>
      <c r="C11" s="11"/>
      <c r="D11" s="11"/>
      <c r="E11" s="11"/>
      <c r="F11" s="11"/>
      <c r="G11" s="11"/>
      <c r="H11" s="11"/>
    </row>
    <row r="12" spans="1:8" ht="30" customHeight="1" x14ac:dyDescent="0.2">
      <c r="A12" s="9">
        <v>10</v>
      </c>
      <c r="B12" s="18" t="s">
        <v>79</v>
      </c>
      <c r="C12" s="11"/>
      <c r="D12" s="11"/>
      <c r="E12" s="11"/>
      <c r="F12" s="11"/>
      <c r="G12" s="11"/>
      <c r="H12" s="11"/>
    </row>
    <row r="13" spans="1:8" ht="30" customHeight="1" x14ac:dyDescent="0.2">
      <c r="A13" s="9">
        <v>11</v>
      </c>
      <c r="B13" s="18"/>
      <c r="C13" s="11"/>
      <c r="D13" s="11"/>
      <c r="E13" s="11"/>
      <c r="F13" s="11"/>
      <c r="G13" s="11"/>
      <c r="H13" s="11"/>
    </row>
    <row r="14" spans="1:8" ht="30" customHeight="1" x14ac:dyDescent="0.2">
      <c r="A14" s="9">
        <v>12</v>
      </c>
      <c r="B14" s="18" t="s">
        <v>80</v>
      </c>
      <c r="C14" s="11"/>
      <c r="D14" s="11"/>
      <c r="E14" s="11"/>
      <c r="F14" s="11"/>
      <c r="G14" s="11"/>
      <c r="H14" s="11"/>
    </row>
    <row r="15" spans="1:8" ht="30" customHeight="1" x14ac:dyDescent="0.2">
      <c r="A15" s="9">
        <v>13</v>
      </c>
      <c r="B15" s="18" t="s">
        <v>81</v>
      </c>
      <c r="C15" s="11"/>
      <c r="D15" s="11"/>
      <c r="E15" s="11"/>
      <c r="F15" s="11"/>
      <c r="G15" s="11"/>
      <c r="H15" s="11"/>
    </row>
    <row r="16" spans="1:8" ht="30" customHeight="1" x14ac:dyDescent="0.2">
      <c r="A16" s="9">
        <v>14</v>
      </c>
      <c r="B16" s="18" t="s">
        <v>82</v>
      </c>
      <c r="C16" s="11"/>
      <c r="D16" s="11"/>
      <c r="E16" s="11"/>
      <c r="F16" s="11"/>
      <c r="G16" s="11"/>
      <c r="H16" s="11"/>
    </row>
    <row r="17" spans="1:8" ht="30" customHeight="1" x14ac:dyDescent="0.2">
      <c r="A17" s="9">
        <v>15</v>
      </c>
      <c r="B17" s="18" t="s">
        <v>83</v>
      </c>
      <c r="C17" s="11"/>
      <c r="D17" s="11"/>
      <c r="E17" s="11"/>
      <c r="F17" s="11"/>
      <c r="G17" s="11"/>
      <c r="H17" s="11"/>
    </row>
    <row r="18" spans="1:8" ht="30" customHeight="1" x14ac:dyDescent="0.2">
      <c r="A18" s="9">
        <v>16</v>
      </c>
      <c r="B18" s="18"/>
      <c r="C18" s="11"/>
      <c r="D18" s="11"/>
      <c r="E18" s="11"/>
      <c r="F18" s="11"/>
      <c r="G18" s="11"/>
      <c r="H18" s="11"/>
    </row>
    <row r="19" spans="1:8" ht="30" customHeight="1" x14ac:dyDescent="0.2">
      <c r="A19" s="9">
        <v>17</v>
      </c>
      <c r="B19" s="18" t="s">
        <v>84</v>
      </c>
      <c r="C19" s="11"/>
      <c r="D19" s="11"/>
      <c r="E19" s="11"/>
      <c r="F19" s="11"/>
      <c r="G19" s="11"/>
      <c r="H19" s="11"/>
    </row>
    <row r="20" spans="1:8" ht="30" customHeight="1" x14ac:dyDescent="0.2">
      <c r="A20" s="9">
        <v>18</v>
      </c>
      <c r="B20" s="18" t="s">
        <v>85</v>
      </c>
      <c r="C20" s="11"/>
      <c r="D20" s="11"/>
      <c r="E20" s="11"/>
      <c r="F20" s="11"/>
      <c r="G20" s="11"/>
      <c r="H20" s="11"/>
    </row>
    <row r="21" spans="1:8" ht="30" customHeight="1" x14ac:dyDescent="0.2">
      <c r="A21" s="9">
        <v>19</v>
      </c>
      <c r="B21" s="18" t="s">
        <v>86</v>
      </c>
      <c r="C21" s="11"/>
      <c r="D21" s="11"/>
      <c r="E21" s="11"/>
      <c r="F21" s="11"/>
      <c r="G21" s="11"/>
      <c r="H21" s="11"/>
    </row>
    <row r="22" spans="1:8" ht="30" customHeight="1" x14ac:dyDescent="0.2">
      <c r="A22" s="9">
        <v>20</v>
      </c>
      <c r="B22" s="18" t="s">
        <v>87</v>
      </c>
      <c r="C22" s="11"/>
      <c r="D22" s="11"/>
      <c r="E22" s="11"/>
      <c r="F22" s="11"/>
      <c r="G22" s="11"/>
      <c r="H22" s="11"/>
    </row>
  </sheetData>
  <mergeCells count="21">
    <mergeCell ref="B22:H22"/>
    <mergeCell ref="B18:H18"/>
    <mergeCell ref="B21:H21"/>
    <mergeCell ref="B12:H12"/>
    <mergeCell ref="B11:H11"/>
    <mergeCell ref="B14:H14"/>
    <mergeCell ref="B17:H17"/>
    <mergeCell ref="B13:H13"/>
    <mergeCell ref="B19:H19"/>
    <mergeCell ref="B20:H20"/>
    <mergeCell ref="B4:H4"/>
    <mergeCell ref="B16:H16"/>
    <mergeCell ref="B7:H7"/>
    <mergeCell ref="B3:H3"/>
    <mergeCell ref="B8:H8"/>
    <mergeCell ref="B10:H10"/>
    <mergeCell ref="B9:H9"/>
    <mergeCell ref="B6:H6"/>
    <mergeCell ref="B15:H15"/>
    <mergeCell ref="A1:H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Tarifa_Anual_2026</vt:lpstr>
      <vt:lpstr>Papel_Trabajo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Israel Castro</cp:lastModifiedBy>
  <dcterms:created xsi:type="dcterms:W3CDTF">2026-02-24T09:05:59Z</dcterms:created>
  <dcterms:modified xsi:type="dcterms:W3CDTF">2026-02-24T09:09:26Z</dcterms:modified>
</cp:coreProperties>
</file>