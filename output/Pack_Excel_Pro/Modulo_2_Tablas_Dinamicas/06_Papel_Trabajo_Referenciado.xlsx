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rifa_Anual_2026" sheetId="1" state="visible" r:id="rId1"/>
    <sheet xmlns:r="http://schemas.openxmlformats.org/officeDocument/2006/relationships" name="Papel_Trabajo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2563EB"/>
      <sz val="14"/>
    </font>
    <font>
      <name val="Calibri"/>
      <b val="1"/>
      <color rgb="00FFFFFF"/>
      <sz val="11"/>
    </font>
    <font>
      <name val="Calibri"/>
      <color rgb="001E293B"/>
      <sz val="11"/>
    </font>
    <font>
      <name val="Calibri"/>
      <b val="1"/>
      <color rgb="001E293B"/>
      <sz val="12"/>
    </font>
    <font>
      <name val="Calibri"/>
      <color rgb="00475569"/>
      <sz val="9"/>
    </font>
    <font>
      <name val="Calibri"/>
      <b val="1"/>
      <color rgb="002563EB"/>
      <sz val="12"/>
    </font>
    <font>
      <name val="Calibri"/>
      <b val="1"/>
      <color rgb="00006100"/>
      <sz val="11"/>
    </font>
  </fonts>
  <fills count="7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D1FAE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bottom style="medium">
        <color rgb="002563E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4" fontId="3" fillId="3" borderId="1" applyAlignment="1" pivotButton="0" quotePrefix="0" xfId="0">
      <alignment horizontal="right" vertical="center"/>
    </xf>
    <xf numFmtId="10" fontId="3" fillId="3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0" fillId="4" borderId="2" pivotButton="0" quotePrefix="0" xfId="0"/>
    <xf numFmtId="0" fontId="3" fillId="0" borderId="1" applyAlignment="1" pivotButton="0" quotePrefix="0" xfId="0">
      <alignment horizontal="left" vertical="center" wrapText="1"/>
    </xf>
    <xf numFmtId="4" fontId="4" fillId="5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wrapText="1"/>
    </xf>
    <xf numFmtId="4" fontId="7" fillId="6" borderId="1" applyAlignment="1" pivotButton="0" quotePrefix="0" xfId="0">
      <alignment horizontal="right" vertical="center"/>
    </xf>
    <xf numFmtId="0" fontId="5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rifa_ISR_Anual" displayName="Tarifa_ISR_Anual" ref="A3:D14" headerRowCount="1">
  <autoFilter ref="A3:D14"/>
  <tableColumns count="4">
    <tableColumn id="1" name="Limite Inferior"/>
    <tableColumn id="2" name="Limite Superior"/>
    <tableColumn id="3" name="Cuota Fija"/>
    <tableColumn id="4" name="% Sobre Excedent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2" customWidth="1" min="3" max="3"/>
    <col width="21" customWidth="1" min="4" max="4"/>
    <col width="10" customWidth="1" min="5" max="5"/>
    <col width="10" customWidth="1" min="6" max="6"/>
  </cols>
  <sheetData>
    <row r="1">
      <c r="A1" s="1" t="inlineStr">
        <is>
          <t>Tarifa ISR Anual 2026 -- Art. 152 LISR (Anexo 8 RMF)</t>
        </is>
      </c>
    </row>
    <row r="2"/>
    <row r="3">
      <c r="A3" s="2" t="inlineStr">
        <is>
          <t>Limite Inferior</t>
        </is>
      </c>
      <c r="B3" s="2" t="inlineStr">
        <is>
          <t>Limite Superior</t>
        </is>
      </c>
      <c r="C3" s="2" t="inlineStr">
        <is>
          <t>Cuota Fija</t>
        </is>
      </c>
      <c r="D3" s="2" t="inlineStr">
        <is>
          <t>% Sobre Excedente</t>
        </is>
      </c>
    </row>
    <row r="4">
      <c r="A4" s="3" t="n">
        <v>0.01</v>
      </c>
      <c r="B4" s="3" t="n">
        <v>10135.11</v>
      </c>
      <c r="C4" s="3" t="n">
        <v>0</v>
      </c>
      <c r="D4" s="4" t="n">
        <v>0.0192</v>
      </c>
    </row>
    <row r="5">
      <c r="A5" s="5" t="n">
        <v>10135.12</v>
      </c>
      <c r="B5" s="5" t="n">
        <v>86022.11</v>
      </c>
      <c r="C5" s="5" t="n">
        <v>194.59</v>
      </c>
      <c r="D5" s="6" t="n">
        <v>0.064</v>
      </c>
    </row>
    <row r="6">
      <c r="A6" s="3" t="n">
        <v>86022.12</v>
      </c>
      <c r="B6" s="3" t="n">
        <v>151176.19</v>
      </c>
      <c r="C6" s="3" t="n">
        <v>5051.37</v>
      </c>
      <c r="D6" s="4" t="n">
        <v>0.1088</v>
      </c>
    </row>
    <row r="7">
      <c r="A7" s="5" t="n">
        <v>151176.2</v>
      </c>
      <c r="B7" s="5" t="n">
        <v>175735.66</v>
      </c>
      <c r="C7" s="5" t="n">
        <v>12140.13</v>
      </c>
      <c r="D7" s="6" t="n">
        <v>0.16</v>
      </c>
    </row>
    <row r="8">
      <c r="A8" s="3" t="n">
        <v>175735.67</v>
      </c>
      <c r="B8" s="3" t="n">
        <v>210403.69</v>
      </c>
      <c r="C8" s="3" t="n">
        <v>16069.64</v>
      </c>
      <c r="D8" s="4" t="n">
        <v>0.1792</v>
      </c>
    </row>
    <row r="9">
      <c r="A9" s="5" t="n">
        <v>210403.7</v>
      </c>
      <c r="B9" s="5" t="n">
        <v>424353.97</v>
      </c>
      <c r="C9" s="5" t="n">
        <v>22282.14</v>
      </c>
      <c r="D9" s="6" t="n">
        <v>0.2136</v>
      </c>
    </row>
    <row r="10">
      <c r="A10" s="3" t="n">
        <v>424353.98</v>
      </c>
      <c r="B10" s="3" t="n">
        <v>668840.14</v>
      </c>
      <c r="C10" s="3" t="n">
        <v>67981.92</v>
      </c>
      <c r="D10" s="4" t="n">
        <v>0.2352</v>
      </c>
    </row>
    <row r="11">
      <c r="A11" s="5" t="n">
        <v>668840.15</v>
      </c>
      <c r="B11" s="5" t="n">
        <v>1276925.98</v>
      </c>
      <c r="C11" s="5" t="n">
        <v>125485.07</v>
      </c>
      <c r="D11" s="6" t="n">
        <v>0.3</v>
      </c>
    </row>
    <row r="12">
      <c r="A12" s="3" t="n">
        <v>1276925.99</v>
      </c>
      <c r="B12" s="3" t="n">
        <v>1702567.97</v>
      </c>
      <c r="C12" s="3" t="n">
        <v>307910.81</v>
      </c>
      <c r="D12" s="4" t="n">
        <v>0.32</v>
      </c>
    </row>
    <row r="13">
      <c r="A13" s="5" t="n">
        <v>1702567.98</v>
      </c>
      <c r="B13" s="5" t="n">
        <v>5107703.92</v>
      </c>
      <c r="C13" s="5" t="n">
        <v>444116.23</v>
      </c>
      <c r="D13" s="6" t="n">
        <v>0.34</v>
      </c>
    </row>
    <row r="14">
      <c r="A14" s="3" t="n">
        <v>5107703.93</v>
      </c>
      <c r="B14" s="3" t="inlineStr">
        <is>
          <t>En adelante</t>
        </is>
      </c>
      <c r="C14" s="3" t="n">
        <v>1601862.46</v>
      </c>
      <c r="D14" s="4" t="n">
        <v>0.35</v>
      </c>
    </row>
  </sheetData>
  <mergeCells count="1"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45"/>
  <sheetViews>
    <sheetView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22" customWidth="1" min="3" max="3"/>
    <col width="55" customWidth="1" min="4" max="4"/>
  </cols>
  <sheetData>
    <row r="2">
      <c r="B2" s="7" t="inlineStr">
        <is>
          <t>PAPEL DE TRABAJO - DECLARACION ANUAL ISR 2026</t>
        </is>
      </c>
    </row>
    <row r="3">
      <c r="B3" s="8" t="inlineStr">
        <is>
          <t>Contribuyente: [NOMBRE O RAZON SOCIAL]</t>
        </is>
      </c>
    </row>
    <row r="4">
      <c r="B4" s="9" t="inlineStr">
        <is>
          <t>RFC: [RFC DEL CONTRIBUYENTE]   |   Ejercicio: 2026</t>
        </is>
      </c>
    </row>
    <row r="6">
      <c r="B6" s="10" t="inlineStr">
        <is>
          <t>I. INGRESOS ACUMULABLES</t>
        </is>
      </c>
      <c r="C6" s="11" t="n"/>
      <c r="D6" s="11" t="n"/>
    </row>
    <row r="7">
      <c r="B7" s="12" t="inlineStr">
        <is>
          <t>Sueldos y salarios gravados</t>
        </is>
      </c>
      <c r="C7" s="13" t="n">
        <v>0</v>
      </c>
      <c r="D7" s="14" t="inlineStr">
        <is>
          <t>Vincula con Pivot: Suma de ImporteGravado donde Clase=Percepcion</t>
        </is>
      </c>
    </row>
    <row r="8">
      <c r="B8" s="12" t="inlineStr">
        <is>
          <t>Ingresos asimilados a salarios</t>
        </is>
      </c>
      <c r="C8" s="13" t="n">
        <v>0</v>
      </c>
      <c r="D8" s="14" t="inlineStr">
        <is>
          <t>Si aplica, sumar concepto 046-Asimilados</t>
        </is>
      </c>
    </row>
    <row r="9">
      <c r="B9" s="12" t="inlineStr">
        <is>
          <t>Otros ingresos acumulables</t>
        </is>
      </c>
      <c r="C9" s="13" t="n">
        <v>0</v>
      </c>
      <c r="D9" s="14" t="inlineStr">
        <is>
          <t>Honorarios, arrendamiento, actividad empresarial, etc.</t>
        </is>
      </c>
    </row>
    <row r="10">
      <c r="B10" s="12" t="inlineStr">
        <is>
          <t>TOTAL INGRESOS ACUMULABLES</t>
        </is>
      </c>
      <c r="C10" s="15">
        <f>SUM(C7:C9)</f>
        <v/>
      </c>
      <c r="D10" s="14" t="inlineStr">
        <is>
          <t>Suma de todos los ingresos</t>
        </is>
      </c>
    </row>
    <row r="12">
      <c r="B12" s="10" t="inlineStr">
        <is>
          <t>II. DEDUCCIONES PERSONALES (Art. 151 LISR)</t>
        </is>
      </c>
      <c r="C12" s="11" t="n"/>
      <c r="D12" s="11" t="n"/>
    </row>
    <row r="13">
      <c r="B13" s="12" t="inlineStr">
        <is>
          <t>Gastos medicos, dentales y hospitalarios</t>
        </is>
      </c>
      <c r="C13" s="13" t="n">
        <v>0</v>
      </c>
      <c r="D13" s="14" t="inlineStr">
        <is>
          <t>Maximo 15% de ingresos o 5 UMAs anuales</t>
        </is>
      </c>
    </row>
    <row r="14">
      <c r="B14" s="12" t="inlineStr">
        <is>
          <t>Gastos funerarios</t>
        </is>
      </c>
      <c r="C14" s="13" t="n">
        <v>0</v>
      </c>
      <c r="D14" s="14" t="inlineStr">
        <is>
          <t>Hasta 1 UMA anual ($41,297)</t>
        </is>
      </c>
    </row>
    <row r="15">
      <c r="B15" s="12" t="inlineStr">
        <is>
          <t>Donativos</t>
        </is>
      </c>
      <c r="C15" s="13" t="n">
        <v>0</v>
      </c>
      <c r="D15" s="14" t="inlineStr">
        <is>
          <t>Hasta 7% de ingresos acumulables del ejercicio anterior</t>
        </is>
      </c>
    </row>
    <row r="16">
      <c r="B16" s="12" t="inlineStr">
        <is>
          <t>Intereses reales hipotecarios</t>
        </is>
      </c>
      <c r="C16" s="13" t="n">
        <v>0</v>
      </c>
      <c r="D16" s="14" t="inlineStr">
        <is>
          <t>Creditos contratados con SOFOMES/bancos</t>
        </is>
      </c>
    </row>
    <row r="17">
      <c r="B17" s="12" t="inlineStr">
        <is>
          <t>Aportaciones voluntarias al retiro</t>
        </is>
      </c>
      <c r="C17" s="13" t="n">
        <v>0</v>
      </c>
      <c r="D17" s="14" t="inlineStr">
        <is>
          <t>Hasta 10% de ingresos o 5 UMAs anuales</t>
        </is>
      </c>
    </row>
    <row r="18">
      <c r="B18" s="12" t="inlineStr">
        <is>
          <t>Primas por seguros de gastos medicos</t>
        </is>
      </c>
      <c r="C18" s="13" t="n">
        <v>0</v>
      </c>
      <c r="D18" s="14" t="inlineStr">
        <is>
          <t>Pagos complementarios al IMSS</t>
        </is>
      </c>
    </row>
    <row r="19">
      <c r="B19" s="12" t="inlineStr">
        <is>
          <t>Transporte escolar obligatorio</t>
        </is>
      </c>
      <c r="C19" s="13" t="n">
        <v>0</v>
      </c>
      <c r="D19" s="14" t="inlineStr">
        <is>
          <t>Solo si es obligatorio por la escuela</t>
        </is>
      </c>
    </row>
    <row r="20">
      <c r="B20" s="12" t="inlineStr">
        <is>
          <t>Colegiaturas (estimulo fiscal)</t>
        </is>
      </c>
      <c r="C20" s="13" t="n">
        <v>0</v>
      </c>
      <c r="D20" s="14" t="inlineStr">
        <is>
          <t>Preescolar $14,200; Primaria $12,900; Secundaria $19,900</t>
        </is>
      </c>
    </row>
    <row r="21">
      <c r="B21" s="12" t="inlineStr">
        <is>
          <t>TOTAL DEDUCCIONES PERSONALES</t>
        </is>
      </c>
      <c r="C21" s="15">
        <f>SUM(C13:C20)</f>
        <v/>
      </c>
      <c r="D21" s="14" t="inlineStr">
        <is>
          <t>Tope: 15% de ingresos o 5 UMAs anuales (lo menor)</t>
        </is>
      </c>
    </row>
    <row r="23">
      <c r="B23" s="10" t="inlineStr">
        <is>
          <t>III. BASE GRAVABLE</t>
        </is>
      </c>
      <c r="C23" s="11" t="n"/>
      <c r="D23" s="11" t="n"/>
    </row>
    <row r="24">
      <c r="B24" s="12" t="inlineStr">
        <is>
          <t>Total Ingresos Acumulables</t>
        </is>
      </c>
      <c r="C24" s="5">
        <f>C10</f>
        <v/>
      </c>
      <c r="D24" s="14" t="inlineStr">
        <is>
          <t>Referencia a seccion I</t>
        </is>
      </c>
    </row>
    <row r="25">
      <c r="B25" s="12" t="inlineStr">
        <is>
          <t>(-) Total Deducciones Personales</t>
        </is>
      </c>
      <c r="C25" s="5">
        <f>C21</f>
        <v/>
      </c>
      <c r="D25" s="14" t="inlineStr">
        <is>
          <t>Referencia a seccion II</t>
        </is>
      </c>
    </row>
    <row r="26">
      <c r="B26" s="12" t="inlineStr">
        <is>
          <t>BASE GRAVABLE DEL EJERCICIO</t>
        </is>
      </c>
      <c r="C26" s="15">
        <f>MAX(0,C24-C25)</f>
        <v/>
      </c>
      <c r="D26" s="14" t="inlineStr">
        <is>
          <t>No puede ser negativa</t>
        </is>
      </c>
    </row>
    <row r="28">
      <c r="B28" s="10" t="inlineStr">
        <is>
          <t>IV. CALCULO DEL ISR (Art. 152 LISR)</t>
        </is>
      </c>
      <c r="C28" s="11" t="n"/>
      <c r="D28" s="11" t="n"/>
    </row>
    <row r="29">
      <c r="B29" s="12" t="inlineStr">
        <is>
          <t>Base Gravable</t>
        </is>
      </c>
      <c r="C29" s="5">
        <f>C26</f>
        <v/>
      </c>
      <c r="D29" s="14" t="inlineStr">
        <is>
          <t>De seccion III</t>
        </is>
      </c>
    </row>
    <row r="30">
      <c r="B30" s="12" t="inlineStr">
        <is>
          <t>Limite Inferior (BUSCARV)</t>
        </is>
      </c>
      <c r="C30" s="5">
        <f>IFERROR(VLOOKUP(C29,Tarifa_ISR_Anual,1,TRUE),0)</f>
        <v/>
      </c>
      <c r="D30" s="14" t="inlineStr">
        <is>
          <t>BUSCARV aproximado en la tarifa</t>
        </is>
      </c>
    </row>
    <row r="31">
      <c r="B31" s="12" t="inlineStr">
        <is>
          <t>Excedente sobre Limite Inferior</t>
        </is>
      </c>
      <c r="C31" s="5">
        <f>C29-C30</f>
        <v/>
      </c>
      <c r="D31" s="14" t="inlineStr">
        <is>
          <t>Base Gravable - Limite Inferior</t>
        </is>
      </c>
    </row>
    <row r="32">
      <c r="B32" s="12" t="inlineStr">
        <is>
          <t>% Sobre Excedente (BUSCARV)</t>
        </is>
      </c>
      <c r="C32" s="6">
        <f>IFERROR(VLOOKUP(C29,Tarifa_ISR_Anual,4,TRUE),0)</f>
        <v/>
      </c>
      <c r="D32" s="14" t="inlineStr">
        <is>
          <t>Porcentaje marginal de la tarifa</t>
        </is>
      </c>
    </row>
    <row r="33">
      <c r="B33" s="12" t="inlineStr">
        <is>
          <t>ISR Marginal</t>
        </is>
      </c>
      <c r="C33" s="5">
        <f>C31*C32</f>
        <v/>
      </c>
      <c r="D33" s="14" t="inlineStr">
        <is>
          <t>Excedente x Porcentaje</t>
        </is>
      </c>
    </row>
    <row r="34">
      <c r="B34" s="12" t="inlineStr">
        <is>
          <t>Cuota Fija (BUSCARV)</t>
        </is>
      </c>
      <c r="C34" s="5">
        <f>IFERROR(VLOOKUP(C29,Tarifa_ISR_Anual,3,TRUE),0)</f>
        <v/>
      </c>
      <c r="D34" s="14" t="inlineStr">
        <is>
          <t>Cuota fija de la tarifa</t>
        </is>
      </c>
    </row>
    <row r="35">
      <c r="B35" s="12" t="inlineStr">
        <is>
          <t>ISR CAUSADO DEL EJERCICIO</t>
        </is>
      </c>
      <c r="C35" s="15">
        <f>C33+C34</f>
        <v/>
      </c>
      <c r="D35" s="14" t="inlineStr">
        <is>
          <t>ISR Marginal + Cuota Fija</t>
        </is>
      </c>
    </row>
    <row r="37">
      <c r="B37" s="10" t="inlineStr">
        <is>
          <t>V. DETERMINACION DEL ISR A CARGO O A FAVOR</t>
        </is>
      </c>
      <c r="C37" s="11" t="n"/>
      <c r="D37" s="11" t="n"/>
    </row>
    <row r="38">
      <c r="B38" s="12" t="inlineStr">
        <is>
          <t>ISR Causado del Ejercicio</t>
        </is>
      </c>
      <c r="C38" s="5">
        <f>C35</f>
        <v/>
      </c>
      <c r="D38" s="14" t="inlineStr">
        <is>
          <t>De seccion IV</t>
        </is>
      </c>
    </row>
    <row r="39">
      <c r="B39" s="12" t="inlineStr">
        <is>
          <t>(-) Retenciones de ISR en el ejercicio</t>
        </is>
      </c>
      <c r="C39" s="13" t="n">
        <v>0</v>
      </c>
      <c r="D39" s="14" t="inlineStr">
        <is>
          <t>Vincula con Pivot: Suma de Deduccion ISR del ejercicio</t>
        </is>
      </c>
    </row>
    <row r="40">
      <c r="B40" s="12" t="inlineStr">
        <is>
          <t>(-) Pagos provisionales efectuados</t>
        </is>
      </c>
      <c r="C40" s="13" t="n">
        <v>0</v>
      </c>
      <c r="D40" s="14" t="inlineStr">
        <is>
          <t>Solo si realizaste pagos provisionales (Cap. II, III, IV LISR)</t>
        </is>
      </c>
    </row>
    <row r="41">
      <c r="B41" s="12" t="inlineStr">
        <is>
          <t>ISR A CARGO (+) O A FAVOR (-)</t>
        </is>
      </c>
      <c r="C41" s="15">
        <f>C38-C39-C40</f>
        <v/>
      </c>
      <c r="D41" s="14" t="inlineStr">
        <is>
          <t>Positivo = a cargo; Negativo = a favor (solicitar devolucion)</t>
        </is>
      </c>
    </row>
    <row r="43">
      <c r="B43" s="16" t="inlineStr">
        <is>
          <t>Nota: Las celdas amarillas son de captura manual. Las verdes se calculan automaticamente con formulas.</t>
        </is>
      </c>
    </row>
    <row r="44">
      <c r="B44" s="16" t="inlineStr">
        <is>
          <t>Las formulas BUSCARV buscan en la tabla 'Tarifa_ISR_Anual' de la hoja Tarifa_Anual_2026.</t>
        </is>
      </c>
    </row>
    <row r="45">
      <c r="B45" s="16" t="inlineStr">
        <is>
          <t>Preparado por: Israel Castro | 2026 | Tarifa vigente Anexo 8 RMF 2026</t>
        </is>
      </c>
    </row>
  </sheetData>
  <mergeCells count="11">
    <mergeCell ref="B28:D28"/>
    <mergeCell ref="B3:D3"/>
    <mergeCell ref="B37:D37"/>
    <mergeCell ref="B45:D45"/>
    <mergeCell ref="B23:D23"/>
    <mergeCell ref="B4:D4"/>
    <mergeCell ref="B44:D44"/>
    <mergeCell ref="B43:D43"/>
    <mergeCell ref="B12:D12"/>
    <mergeCell ref="B6:D6"/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5" customWidth="1" min="1" max="1"/>
    <col width="80" customWidth="1" min="2" max="2"/>
  </cols>
  <sheetData>
    <row r="1" ht="30" customHeight="1">
      <c r="A1" s="1" t="inlineStr">
        <is>
          <t>📋 Instrucciones</t>
        </is>
      </c>
    </row>
    <row r="3" ht="30" customHeight="1">
      <c r="A3" s="17" t="n">
        <v>1</v>
      </c>
      <c r="B3" s="18" t="inlineStr">
        <is>
          <t>Este papel de trabajo calcula el ISR anual usando la tarifa 2026 (Art. 152 LISR).</t>
        </is>
      </c>
    </row>
    <row r="4" ht="30" customHeight="1">
      <c r="A4" s="17" t="n">
        <v>2</v>
      </c>
      <c r="B4" s="18" t="inlineStr">
        <is>
          <t>Las celdas AMARILLAS son de captura: ingresa ahi los montos de tus ingresos y deducciones.</t>
        </is>
      </c>
    </row>
    <row r="5" ht="30" customHeight="1">
      <c r="A5" s="17" t="n">
        <v>3</v>
      </c>
      <c r="B5" s="18" t="inlineStr">
        <is>
          <t>Las celdas VERDES se calculan automaticamente con formulas.</t>
        </is>
      </c>
    </row>
    <row r="6" ht="30" customHeight="1">
      <c r="A6" s="17" t="n">
        <v>4</v>
      </c>
      <c r="B6" s="18" t="inlineStr"/>
    </row>
    <row r="7" ht="30" customHeight="1">
      <c r="A7" s="17" t="n">
        <v>5</v>
      </c>
      <c r="B7" s="18">
        <f>== VINCULACION CON TABLAS DINAMICAS ===</f>
        <v/>
      </c>
    </row>
    <row r="8" ht="30" customHeight="1">
      <c r="A8" s="17" t="n">
        <v>6</v>
      </c>
      <c r="B8" s="18" t="inlineStr">
        <is>
          <t>1. Abre el archivo 05_Analisis_Nomina_XML_Pivot.xlsx.</t>
        </is>
      </c>
    </row>
    <row r="9" ht="30" customHeight="1">
      <c r="A9" s="17" t="n">
        <v>7</v>
      </c>
      <c r="B9" s="18" t="inlineStr">
        <is>
          <t>2. Crea una Tabla Dinamica que sume ImporteGravado por Clase.</t>
        </is>
      </c>
    </row>
    <row r="10" ht="30" customHeight="1">
      <c r="A10" s="17" t="n">
        <v>8</v>
      </c>
      <c r="B10" s="18" t="inlineStr">
        <is>
          <t>3. Copia el total de 'Percepcion' en la celda 'Sueldos y salarios gravados' (C7).</t>
        </is>
      </c>
    </row>
    <row r="11" ht="30" customHeight="1">
      <c r="A11" s="17" t="n">
        <v>9</v>
      </c>
      <c r="B11" s="18" t="inlineStr">
        <is>
          <t>4. Copia el total de 'Deduccion' con concepto ISR en 'Retenciones de ISR' (seccion V).</t>
        </is>
      </c>
    </row>
    <row r="12" ht="30" customHeight="1">
      <c r="A12" s="17" t="n">
        <v>10</v>
      </c>
      <c r="B12" s="18" t="inlineStr">
        <is>
          <t>5. Observa como el papel de trabajo calcula automaticamente el ISR a cargo o a favor.</t>
        </is>
      </c>
    </row>
    <row r="13" ht="30" customHeight="1">
      <c r="A13" s="17" t="n">
        <v>11</v>
      </c>
      <c r="B13" s="18" t="inlineStr"/>
    </row>
    <row r="14" ht="30" customHeight="1">
      <c r="A14" s="17" t="n">
        <v>12</v>
      </c>
      <c r="B14" s="18">
        <f>== FORMULAS CLAVE ===</f>
        <v/>
      </c>
    </row>
    <row r="15" ht="30" customHeight="1">
      <c r="A15" s="17" t="n">
        <v>13</v>
      </c>
      <c r="B15" s="18" t="inlineStr">
        <is>
          <t>BUSCARV (VLOOKUP): Busca el limite inferior, cuota fija y porcentaje en la tarifa.</t>
        </is>
      </c>
    </row>
    <row r="16" ht="30" customHeight="1">
      <c r="A16" s="17" t="n">
        <v>14</v>
      </c>
      <c r="B16" s="18" t="inlineStr">
        <is>
          <t>SI.ERROR (IFERROR): Envuelve BUSCARV para evitar errores si la celda esta vacia.</t>
        </is>
      </c>
    </row>
    <row r="17" ht="30" customHeight="1">
      <c r="A17" s="17" t="n">
        <v>15</v>
      </c>
      <c r="B17" s="18" t="inlineStr">
        <is>
          <t>MAX(0, valor): Asegura que la base gravable no sea negativa.</t>
        </is>
      </c>
    </row>
    <row r="18" ht="30" customHeight="1">
      <c r="A18" s="17" t="n">
        <v>16</v>
      </c>
      <c r="B18" s="18" t="inlineStr"/>
    </row>
    <row r="19" ht="30" customHeight="1">
      <c r="A19" s="17" t="n">
        <v>17</v>
      </c>
      <c r="B19" s="18">
        <f>== PARA EL INSTRUCTOR ===</f>
        <v/>
      </c>
    </row>
    <row r="20" ht="30" customHeight="1">
      <c r="A20" s="17" t="n">
        <v>18</v>
      </c>
      <c r="B20" s="18" t="inlineStr">
        <is>
          <t>Este formato replica el calculo que hace el SAT en la declaracion anual.</t>
        </is>
      </c>
    </row>
    <row r="21" ht="30" customHeight="1">
      <c r="A21" s="17" t="n">
        <v>19</v>
      </c>
      <c r="B21" s="18" t="inlineStr">
        <is>
          <t>Es ideal para mostrar la relacion entre tablas dinamicas y papeles de trabajo.</t>
        </is>
      </c>
    </row>
    <row r="22" ht="30" customHeight="1">
      <c r="A22" s="17" t="n">
        <v>20</v>
      </c>
      <c r="B22" s="18" t="inlineStr">
        <is>
          <t>Los alumnos pueden verificar sus resultados contra el simulador del SAT.</t>
        </is>
      </c>
    </row>
  </sheetData>
  <mergeCells count="21">
    <mergeCell ref="B9:H9"/>
    <mergeCell ref="B6:H6"/>
    <mergeCell ref="B15:H15"/>
    <mergeCell ref="A1:H1"/>
    <mergeCell ref="B5:H5"/>
    <mergeCell ref="B20:H20"/>
    <mergeCell ref="B4:H4"/>
    <mergeCell ref="B16:H16"/>
    <mergeCell ref="B7:H7"/>
    <mergeCell ref="B3:H3"/>
    <mergeCell ref="B22:H22"/>
    <mergeCell ref="B18:H18"/>
    <mergeCell ref="B21:H21"/>
    <mergeCell ref="B12:H12"/>
    <mergeCell ref="B11:H11"/>
    <mergeCell ref="B8:H8"/>
    <mergeCell ref="B14:H14"/>
    <mergeCell ref="B17:H17"/>
    <mergeCell ref="B13:H13"/>
    <mergeCell ref="B10:H10"/>
    <mergeCell ref="B19:H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2026-02-21T23:39:00Z</dcterms:created>
  <dcterms:modified xmlns:dcterms="http://purl.org/dc/terms/" xmlns:xsi="http://www.w3.org/2001/XMLSchema-instance" xsi:type="dcterms:W3CDTF">2026-02-21T23:39:00Z</dcterms:modified>
</cp:coreProperties>
</file>