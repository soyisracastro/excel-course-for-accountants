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sca/Code/projects/excel-course-for-accountants/output/Pack_Excel_Pro/Modulo_4_Dashboard/"/>
    </mc:Choice>
  </mc:AlternateContent>
  <xr:revisionPtr revIDLastSave="0" documentId="13_ncr:1_{E0538732-6F3F-C044-A0E9-1C7F2DB9BB6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Datos_Nomina" sheetId="1" r:id="rId1"/>
    <sheet name="Tarifa_ISR" sheetId="2" r:id="rId2"/>
    <sheet name="Calculadora" sheetId="3" r:id="rId3"/>
    <sheet name="Dashboard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5" i="3"/>
  <c r="B6" i="3" s="1"/>
  <c r="H4" i="4"/>
  <c r="E4" i="4"/>
  <c r="B4" i="4"/>
  <c r="B12" i="3"/>
  <c r="B10" i="3" l="1"/>
  <c r="B14" i="3" s="1"/>
</calcChain>
</file>

<file path=xl/sharedStrings.xml><?xml version="1.0" encoding="utf-8"?>
<sst xmlns="http://schemas.openxmlformats.org/spreadsheetml/2006/main" count="794" uniqueCount="126">
  <si>
    <t>Datos de Nomina 2026 -- 20 Empleados x 12 Meses</t>
  </si>
  <si>
    <t>Base de datos para Tablas Dinamicas, Segmentadores y Dashboard.</t>
  </si>
  <si>
    <t>Empleado</t>
  </si>
  <si>
    <t>Puesto</t>
  </si>
  <si>
    <t>Periodo</t>
  </si>
  <si>
    <t>Sueldo</t>
  </si>
  <si>
    <t>ISR</t>
  </si>
  <si>
    <t>IMSS</t>
  </si>
  <si>
    <t>SubsidioEmpleo</t>
  </si>
  <si>
    <t>NetoPagar</t>
  </si>
  <si>
    <t>Ana Lopez Martinez</t>
  </si>
  <si>
    <t>Contador Senior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</si>
  <si>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</si>
  <si>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</si>
  <si>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</si>
  <si>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</si>
  <si>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</si>
  <si>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</si>
  <si>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</si>
  <si>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</si>
  <si>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</si>
  <si>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</si>
  <si>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</si>
  <si>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</si>
  <si>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Carlos Ramirez Ortiz</t>
  </si>
  <si>
    <t>Auxiliar Contable</t>
  </si>
  <si>
    <t>Maria Fernanda Torres</t>
  </si>
  <si>
    <t>Gerente Administrativo</t>
  </si>
  <si>
    <t>Jorge Hernandez Cruz</t>
  </si>
  <si>
    <t>Analista Fiscal</t>
  </si>
  <si>
    <t>Patricia Gonzalez Ruiz</t>
  </si>
  <si>
    <t>Asistente Administrativo</t>
  </si>
  <si>
    <t>Roberto Sanchez Diaz</t>
  </si>
  <si>
    <t>Director Financiero</t>
  </si>
  <si>
    <t>Laura Garcia Mendoza</t>
  </si>
  <si>
    <t>Contador Junior</t>
  </si>
  <si>
    <t>Fernando Morales Rios</t>
  </si>
  <si>
    <t>Auditor Interno</t>
  </si>
  <si>
    <t>Gabriela Flores Castillo</t>
  </si>
  <si>
    <t>Nominas y IMSS</t>
  </si>
  <si>
    <t>Miguel Angel Vargas</t>
  </si>
  <si>
    <t>Gerente de Operaciones</t>
  </si>
  <si>
    <t>Diana Castro Perez</t>
  </si>
  <si>
    <t>Auxiliar de Nominas</t>
  </si>
  <si>
    <t>Alejandro Reyes Luna</t>
  </si>
  <si>
    <t>Contador General</t>
  </si>
  <si>
    <t>Sofia Martinez Aguilar</t>
  </si>
  <si>
    <t>Analista de Costos</t>
  </si>
  <si>
    <t>Ricardo Jimenez Torres</t>
  </si>
  <si>
    <t>Jefe de Contabilidad</t>
  </si>
  <si>
    <t>Claudia Romero Navarro</t>
  </si>
  <si>
    <t>Asistente Fiscal</t>
  </si>
  <si>
    <t>Eduardo Gutierrez Soto</t>
  </si>
  <si>
    <t>Tesorero</t>
  </si>
  <si>
    <t>Veronica Diaz Herrera</t>
  </si>
  <si>
    <t>Coordinadora RH</t>
  </si>
  <si>
    <t>Oscar Mendez Rojas</t>
  </si>
  <si>
    <t>Pasante Contable</t>
  </si>
  <si>
    <t>Isabel Juarez Medina</t>
  </si>
  <si>
    <t>Ejecutiva de Cobranza</t>
  </si>
  <si>
    <t>Raul Dominguez Espino</t>
  </si>
  <si>
    <t>Gerente General</t>
  </si>
  <si>
    <t>Tarifa ISR Mensual 2026 -- Art. 96 LISR (Anexo 8 RMF)</t>
  </si>
  <si>
    <t>Tarifa oficial para retenciones de nomina. Usa BUSCARV para calcular el ISR.</t>
  </si>
  <si>
    <t>Limite Inferior</t>
  </si>
  <si>
    <t>Limite Superior</t>
  </si>
  <si>
    <t>Cuota Fija</t>
  </si>
  <si>
    <t>% Sobre Excedente</t>
  </si>
  <si>
    <t>Calculadora ISR Mensual con BUSCARV</t>
  </si>
  <si>
    <t>Ingresa un sueldo mensual en B4 y las formulas calculan automaticamente el ISR.</t>
  </si>
  <si>
    <t>Sueldo Mensual Bruto (base gravable)</t>
  </si>
  <si>
    <t>Limite Inferior (BUSCARV)</t>
  </si>
  <si>
    <t>BUSCARV busca el limite inferior que corresponde a tu sueldo</t>
  </si>
  <si>
    <t>Excedente sobre Limite Inferior</t>
  </si>
  <si>
    <t>Sueldo menos el limite inferior de tu rango</t>
  </si>
  <si>
    <t>% Sobre Excedente (BUSCARV)</t>
  </si>
  <si>
    <t>Porcentaje marginal de impuesto sobre el excedente</t>
  </si>
  <si>
    <t>ISR Marginal</t>
  </si>
  <si>
    <t>Excedente x Porcentaje = ISR marginal</t>
  </si>
  <si>
    <t>Cuota Fija (BUSCARV)</t>
  </si>
  <si>
    <t>Cantidad fija que se suma segun tu rango</t>
  </si>
  <si>
    <t>ISR Causado del Periodo</t>
  </si>
  <si>
    <t>ISR Marginal + Cuota Fija = ISR total del periodo</t>
  </si>
  <si>
    <t>IMSS Trabajador (estimado)</t>
  </si>
  <si>
    <t>Estimacion: ~2.775% del SBC (tope 25 UMA)</t>
  </si>
  <si>
    <t>Subsidio al Empleo</t>
  </si>
  <si>
    <t>Aplica solo a sueldos bajos (ver tabla de subsidio)</t>
  </si>
  <si>
    <t>Neto a Pagar</t>
  </si>
  <si>
    <t>Sueldo - ISR - IMSS + Subsidio = Neto a pagar</t>
  </si>
  <si>
    <t>Dashboard de Nomina Integrado</t>
  </si>
  <si>
    <t>Total Percepciones</t>
  </si>
  <si>
    <t>Total Deducciones (ISR+IMSS)</t>
  </si>
  <si>
    <t>ISR del Periodo</t>
  </si>
  <si>
    <t>e.firma Status</t>
  </si>
  <si>
    <t>VIGENTE</t>
  </si>
  <si>
    <t>INSTRUCCIONES PARA COMPLETAR EL DASHBOARD:</t>
  </si>
  <si>
    <t>1. TABLAS DINAMICAS:</t>
  </si>
  <si>
    <t xml:space="preserve">   a) Selecciona cualquier celda en Datos_Nomina &gt; Insertar &gt; Tabla Dinamica</t>
  </si>
  <si>
    <t xml:space="preserve">   b) Crea una TD con Periodo en filas, Sueldo/ISR/NetoPagar en valores (Suma)</t>
  </si>
  <si>
    <t xml:space="preserve">   c) Crea otra TD con Puesto en filas, Empleado en valores (Cuenta)</t>
  </si>
  <si>
    <t>2. SEGMENTADORES (SLICERS):</t>
  </si>
  <si>
    <t xml:space="preserve">   a) Clic en tu Tabla Dinamica &gt; Insertar &gt; Segmentacion de datos</t>
  </si>
  <si>
    <t xml:space="preserve">   b) Selecciona: Periodo, Puesto, Empleado</t>
  </si>
  <si>
    <t xml:space="preserve">   c) Conecta los slicers a TODAS las TDs: clic derecho &gt; Conexiones de informe</t>
  </si>
  <si>
    <t>3. GRAFICOS:</t>
  </si>
  <si>
    <t xml:space="preserve">   a) Selecciona la TD &gt; Insertar &gt; Grafico &gt; Barras agrupadas (para comparar puestos)</t>
  </si>
  <si>
    <t xml:space="preserve">   b) Inserta un grafico de lineas basado en la TD mensual (tendencia de nomina)</t>
  </si>
  <si>
    <t xml:space="preserve">   c) Mueve los graficos a esta hoja de Dashboard</t>
  </si>
  <si>
    <t>4. KPIs:</t>
  </si>
  <si>
    <t xml:space="preserve">   Los KPIs de arriba ya tienen formulas SUBTOTAL que respetan filtros de slicers.</t>
  </si>
  <si>
    <t xml:space="preserve">   Si usas Tablas Dinamicas, reemplaza con =GETPIVOTDATA() para mayor precision.</t>
  </si>
  <si>
    <t>5. FORMATO FINAL:</t>
  </si>
  <si>
    <t xml:space="preserve">   a) Oculta lineas de cuadricula: Vista &gt; desmarcar Lineas de cuadricula</t>
  </si>
  <si>
    <t xml:space="preserve">   b) Ajusta el zoom a 85-90% para ver todo el dashboard</t>
  </si>
  <si>
    <t xml:space="preserve">   c) Usa Vista &gt; Inmovilizar paneles en fila 5 para fijar los KPIs</t>
  </si>
  <si>
    <t>📋 Instrucciones</t>
  </si>
  <si>
    <t>Este archivo integra todo el Modulo 4: Nomina + ISR + Dashboard.</t>
  </si>
  <si>
    <t>La hoja 'Datos_Nomina' tiene 240 registros (20 empleados x 12 meses) como tabla nombrada 'Nomina_Empleados'.</t>
  </si>
  <si>
    <t>La hoja 'Tarifa_ISR' contiene la tarifa mensual Art. 96 como tabla nombrada 'Tarifa_ISR_Mensual'.</t>
  </si>
  <si>
    <t>En 'Calculadora', cambia el sueldo amarillo (B4) para ver el calculo ISR paso a paso con BUSCARV.</t>
  </si>
  <si>
    <t>La hoja 'Dashboard' tiene KPIs con formulas SUBTOTAL que se actualizan con los segmentadores.</t>
  </si>
  <si>
    <t>PASO 1: Crea Tablas Dinamicas desde Datos_Nomina (una por meses, otra por puestos).</t>
  </si>
  <si>
    <t>PASO 2: Inserta Segmentadores vinculados a ambas Tablas Dinamicas.</t>
  </si>
  <si>
    <t>PASO 3: Crea graficos (barras y lineas) y muevalos a la hoja Dashboard.</t>
  </si>
  <si>
    <t>PASO 4: Protege las hojas de formulas y comparte como PDF o Excel protegido.</t>
  </si>
  <si>
    <t>Los datos simulan sueldos mexicanos reales desde salario minimo hasta $55,000/mes.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</si>
</sst>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2563EB"/>
      <name val="Calibri"/>
      <family val="2"/>
    </font>
    <font>
      <sz val="9"/>
      <color rgb="FF475569"/>
      <name val="Calibri"/>
      <family val="2"/>
    </font>
    <font>
      <b/>
      <sz val="11"/>
      <color rgb="FFFFFFFF"/>
      <name val="Calibri"/>
      <family val="2"/>
    </font>
    <font>
      <sz val="11"/>
      <color rgb="FF1E293B"/>
      <name val="Calibri"/>
      <family val="2"/>
    </font>
    <font>
      <b/>
      <sz val="12"/>
      <color rgb="FF1E293B"/>
      <name val="Calibri"/>
      <family val="2"/>
    </font>
    <font>
      <b/>
      <sz val="10"/>
      <color rgb="FFFFFFFF"/>
      <name val="Calibri"/>
      <family val="2"/>
    </font>
    <font>
      <b/>
      <sz val="14"/>
      <color rgb="FFEF4444"/>
      <name val="Calibri"/>
      <family val="2"/>
    </font>
    <font>
      <b/>
      <sz val="14"/>
      <color rgb="FFF59E0B"/>
      <name val="Calibri"/>
      <family val="2"/>
    </font>
    <font>
      <b/>
      <sz val="14"/>
      <color rgb="FF10B98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59E0B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4" fontId="5" fillId="4" borderId="1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6" borderId="0" xfId="0" applyFont="1" applyFill="1" applyAlignment="1">
      <alignment horizontal="left" vertical="center" wrapText="1"/>
    </xf>
    <xf numFmtId="0" fontId="0" fillId="3" borderId="0" xfId="0" applyFill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1" fillId="3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4" fontId="7" fillId="3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4" fontId="8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ina_Empleados" displayName="Nomina_Empleados" ref="A4:H244">
  <autoFilter ref="A4:H244" xr:uid="{00000000-0009-0000-0100-000001000000}"/>
  <tableColumns count="8">
    <tableColumn id="1" xr3:uid="{00000000-0010-0000-0000-000001000000}" name="Empleado"/>
    <tableColumn id="2" xr3:uid="{00000000-0010-0000-0000-000002000000}" name="Puesto"/>
    <tableColumn id="3" xr3:uid="{00000000-0010-0000-0000-000003000000}" name="Periodo"/>
    <tableColumn id="4" xr3:uid="{00000000-0010-0000-0000-000004000000}" name="Sueldo"/>
    <tableColumn id="5" xr3:uid="{00000000-0010-0000-0000-000005000000}" name="ISR"/>
    <tableColumn id="6" xr3:uid="{00000000-0010-0000-0000-000006000000}" name="IMSS"/>
    <tableColumn id="7" xr3:uid="{00000000-0010-0000-0000-000007000000}" name="SubsidioEmpleo"/>
    <tableColumn id="8" xr3:uid="{00000000-0010-0000-0000-000008000000}" name="NetoPag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ifa_ISR_Mensual" displayName="Tarifa_ISR_Mensual" ref="A4:D15">
  <autoFilter ref="A4:D15" xr:uid="{00000000-0009-0000-0100-000002000000}"/>
  <tableColumns count="4">
    <tableColumn id="1" xr3:uid="{00000000-0010-0000-0100-000001000000}" name="Limite Inferior"/>
    <tableColumn id="2" xr3:uid="{00000000-0010-0000-0100-000002000000}" name="Limite Superior"/>
    <tableColumn id="3" xr3:uid="{00000000-0010-0000-0100-000003000000}" name="Cuota Fija"/>
    <tableColumn id="4" xr3:uid="{00000000-0010-0000-0100-000004000000}" name="% Sobre Exced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workbookViewId="0">
      <selection sqref="A1:H1"/>
    </sheetView>
  </sheetViews>
  <sheetFormatPr baseColWidth="10" defaultColWidth="9.1640625" defaultRowHeight="15" x14ac:dyDescent="0.2"/>
  <cols>
    <col min="1" max="1" width="32" customWidth="1"/>
    <col min="2" max="2" width="26" customWidth="1"/>
    <col min="3" max="3" width="14" customWidth="1"/>
    <col min="4" max="6" width="10" customWidth="1"/>
    <col min="7" max="7" width="16" customWidth="1"/>
    <col min="8" max="8" width="11" customWidth="1"/>
  </cols>
  <sheetData>
    <row r="1" spans="1:8" x14ac:dyDescent="0.2">
      <c r="A1" s="16" t="s">
        <v>0</v>
      </c>
      <c r="B1" s="17"/>
      <c r="C1" s="17"/>
      <c r="D1" s="17"/>
      <c r="E1" s="17"/>
      <c r="F1" s="17"/>
      <c r="G1" s="17"/>
      <c r="H1" s="17"/>
    </row>
    <row r="2" spans="1:8" x14ac:dyDescent="0.2">
      <c r="A2" s="1" t="s">
        <v>1</v>
      </c>
    </row>
    <row r="4" spans="1:8" ht="1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16" x14ac:dyDescent="0.2">
      <c r="A5" s="3" t="s">
        <v>10</v>
      </c>
      <c r="B5" s="3" t="s">
        <v>11</v>
      </c>
      <c r="C5" s="3" t="s">
        <v>12</v>
      </c>
      <c r="D5" s="4">
        <v>21194.400000000001</v>
      </c>
      <c r="E5" s="4">
        <v>2638.78</v>
      </c>
      <c r="F5" s="4">
        <v>588.14</v>
      </c>
      <c r="G5" s="4">
        <v>0</v>
      </c>
      <c r="H5" s="4">
        <v>17967.48</v>
      </c>
    </row>
    <row r="6" spans="1:8" ht="16" x14ac:dyDescent="0.2">
      <c r="A6" s="5" t="s">
        <v>10</v>
      </c>
      <c r="B6" s="5" t="s">
        <v>11</v>
      </c>
      <c r="C6" s="5" t="s">
        <v>13</v>
      </c>
      <c r="D6" s="6">
        <v>21206.23</v>
      </c>
      <c r="E6" s="6">
        <v>2641.3</v>
      </c>
      <c r="F6" s="6">
        <v>588.47</v>
      </c>
      <c r="G6" s="6">
        <v>0</v>
      </c>
      <c r="H6" s="6">
        <v>17976.46</v>
      </c>
    </row>
    <row r="7" spans="1:8" ht="16" x14ac:dyDescent="0.2">
      <c r="A7" s="3" t="s">
        <v>10</v>
      </c>
      <c r="B7" s="3" t="s">
        <v>11</v>
      </c>
      <c r="C7" s="3" t="s">
        <v>14</v>
      </c>
      <c r="D7" s="4">
        <v>21648.93</v>
      </c>
      <c r="E7" s="4">
        <v>2735.86</v>
      </c>
      <c r="F7" s="4">
        <v>600.76</v>
      </c>
      <c r="G7" s="4">
        <v>0</v>
      </c>
      <c r="H7" s="4">
        <v>18312.310000000001</v>
      </c>
    </row>
    <row r="8" spans="1:8" ht="16" x14ac:dyDescent="0.2">
      <c r="A8" s="5" t="s">
        <v>10</v>
      </c>
      <c r="B8" s="5" t="s">
        <v>11</v>
      </c>
      <c r="C8" s="5" t="s">
        <v>15</v>
      </c>
      <c r="D8" s="6">
        <v>20685.96</v>
      </c>
      <c r="E8" s="6">
        <v>2530.17</v>
      </c>
      <c r="F8" s="6">
        <v>574.04</v>
      </c>
      <c r="G8" s="6">
        <v>0</v>
      </c>
      <c r="H8" s="6">
        <v>17581.75</v>
      </c>
    </row>
    <row r="9" spans="1:8" ht="16" x14ac:dyDescent="0.2">
      <c r="A9" s="3" t="s">
        <v>10</v>
      </c>
      <c r="B9" s="3" t="s">
        <v>11</v>
      </c>
      <c r="C9" s="3" t="s">
        <v>16</v>
      </c>
      <c r="D9" s="4">
        <v>20839.36</v>
      </c>
      <c r="E9" s="4">
        <v>2562.94</v>
      </c>
      <c r="F9" s="4">
        <v>578.29</v>
      </c>
      <c r="G9" s="4">
        <v>0</v>
      </c>
      <c r="H9" s="4">
        <v>17698.13</v>
      </c>
    </row>
    <row r="10" spans="1:8" ht="16" x14ac:dyDescent="0.2">
      <c r="A10" s="5" t="s">
        <v>10</v>
      </c>
      <c r="B10" s="5" t="s">
        <v>11</v>
      </c>
      <c r="C10" s="5" t="s">
        <v>17</v>
      </c>
      <c r="D10" s="6">
        <v>21319.66</v>
      </c>
      <c r="E10" s="6">
        <v>2665.53</v>
      </c>
      <c r="F10" s="6">
        <v>591.62</v>
      </c>
      <c r="G10" s="6">
        <v>0</v>
      </c>
      <c r="H10" s="6">
        <v>18062.509999999998</v>
      </c>
    </row>
    <row r="11" spans="1:8" ht="16" x14ac:dyDescent="0.2">
      <c r="A11" s="3" t="s">
        <v>10</v>
      </c>
      <c r="B11" s="3" t="s">
        <v>11</v>
      </c>
      <c r="C11" s="3" t="s">
        <v>18</v>
      </c>
      <c r="D11" s="4">
        <v>21263.11</v>
      </c>
      <c r="E11" s="4">
        <v>2653.45</v>
      </c>
      <c r="F11" s="4">
        <v>590.04999999999995</v>
      </c>
      <c r="G11" s="4">
        <v>0</v>
      </c>
      <c r="H11" s="4">
        <v>18019.61</v>
      </c>
    </row>
    <row r="12" spans="1:8" ht="16" x14ac:dyDescent="0.2">
      <c r="A12" s="5" t="s">
        <v>10</v>
      </c>
      <c r="B12" s="5" t="s">
        <v>11</v>
      </c>
      <c r="C12" s="5" t="s">
        <v>19</v>
      </c>
      <c r="D12" s="6">
        <v>21551.5</v>
      </c>
      <c r="E12" s="6">
        <v>2715.05</v>
      </c>
      <c r="F12" s="6">
        <v>598.04999999999995</v>
      </c>
      <c r="G12" s="6">
        <v>0</v>
      </c>
      <c r="H12" s="6">
        <v>18238.400000000001</v>
      </c>
    </row>
    <row r="13" spans="1:8" ht="16" x14ac:dyDescent="0.2">
      <c r="A13" s="3" t="s">
        <v>10</v>
      </c>
      <c r="B13" s="3" t="s">
        <v>11</v>
      </c>
      <c r="C13" s="3" t="s">
        <v>20</v>
      </c>
      <c r="D13" s="4">
        <v>21251.99</v>
      </c>
      <c r="E13" s="4">
        <v>2651.08</v>
      </c>
      <c r="F13" s="4">
        <v>589.74</v>
      </c>
      <c r="G13" s="4">
        <v>0</v>
      </c>
      <c r="H13" s="4">
        <v>18011.169999999998</v>
      </c>
    </row>
    <row r="14" spans="1:8" ht="16" x14ac:dyDescent="0.2">
      <c r="A14" s="5" t="s">
        <v>10</v>
      </c>
      <c r="B14" s="5" t="s">
        <v>11</v>
      </c>
      <c r="C14" s="5" t="s">
        <v>21</v>
      </c>
      <c r="D14" s="6">
        <v>21484.32</v>
      </c>
      <c r="E14" s="6">
        <v>2700.7</v>
      </c>
      <c r="F14" s="6">
        <v>596.19000000000005</v>
      </c>
      <c r="G14" s="6">
        <v>0</v>
      </c>
      <c r="H14" s="6">
        <v>18187.43</v>
      </c>
    </row>
    <row r="15" spans="1:8" ht="16" x14ac:dyDescent="0.2">
      <c r="A15" s="3" t="s">
        <v>10</v>
      </c>
      <c r="B15" s="3" t="s">
        <v>11</v>
      </c>
      <c r="C15" s="3" t="s">
        <v>22</v>
      </c>
      <c r="D15" s="4">
        <v>21532.1</v>
      </c>
      <c r="E15" s="4">
        <v>2710.91</v>
      </c>
      <c r="F15" s="4">
        <v>597.52</v>
      </c>
      <c r="G15" s="4">
        <v>0</v>
      </c>
      <c r="H15" s="4">
        <v>18223.669999999998</v>
      </c>
    </row>
    <row r="16" spans="1:8" ht="16" x14ac:dyDescent="0.2">
      <c r="A16" s="5" t="s">
        <v>10</v>
      </c>
      <c r="B16" s="5" t="s">
        <v>11</v>
      </c>
      <c r="C16" s="5" t="s">
        <v>23</v>
      </c>
      <c r="D16" s="6">
        <v>21510.37</v>
      </c>
      <c r="E16" s="6">
        <v>2706.27</v>
      </c>
      <c r="F16" s="6">
        <v>596.91</v>
      </c>
      <c r="G16" s="6">
        <v>0</v>
      </c>
      <c r="H16" s="6">
        <v>18207.189999999999</v>
      </c>
    </row>
    <row r="17" spans="1:8" ht="16" x14ac:dyDescent="0.2">
      <c r="A17" s="3" t="s">
        <v>24</v>
      </c>
      <c r="B17" s="3" t="s">
        <v>25</v>
      </c>
      <c r="C17" s="3" t="s">
        <v>12</v>
      </c>
      <c r="D17" s="4">
        <v>12153.43</v>
      </c>
      <c r="E17" s="4">
        <v>963.31</v>
      </c>
      <c r="F17" s="4">
        <v>337.26</v>
      </c>
      <c r="G17" s="4">
        <v>0</v>
      </c>
      <c r="H17" s="4">
        <v>10852.86</v>
      </c>
    </row>
    <row r="18" spans="1:8" ht="16" x14ac:dyDescent="0.2">
      <c r="A18" s="5" t="s">
        <v>24</v>
      </c>
      <c r="B18" s="5" t="s">
        <v>25</v>
      </c>
      <c r="C18" s="5" t="s">
        <v>13</v>
      </c>
      <c r="D18" s="6">
        <v>12430.68</v>
      </c>
      <c r="E18" s="6">
        <v>993.47</v>
      </c>
      <c r="F18" s="6">
        <v>344.95</v>
      </c>
      <c r="G18" s="6">
        <v>0</v>
      </c>
      <c r="H18" s="6">
        <v>11092.26</v>
      </c>
    </row>
    <row r="19" spans="1:8" ht="16" x14ac:dyDescent="0.2">
      <c r="A19" s="3" t="s">
        <v>24</v>
      </c>
      <c r="B19" s="3" t="s">
        <v>25</v>
      </c>
      <c r="C19" s="3" t="s">
        <v>14</v>
      </c>
      <c r="D19" s="4">
        <v>12057.73</v>
      </c>
      <c r="E19" s="4">
        <v>952.9</v>
      </c>
      <c r="F19" s="4">
        <v>334.6</v>
      </c>
      <c r="G19" s="4">
        <v>0</v>
      </c>
      <c r="H19" s="4">
        <v>10770.23</v>
      </c>
    </row>
    <row r="20" spans="1:8" ht="16" x14ac:dyDescent="0.2">
      <c r="A20" s="5" t="s">
        <v>24</v>
      </c>
      <c r="B20" s="5" t="s">
        <v>25</v>
      </c>
      <c r="C20" s="5" t="s">
        <v>15</v>
      </c>
      <c r="D20" s="6">
        <v>12580.73</v>
      </c>
      <c r="E20" s="6">
        <v>1009.8</v>
      </c>
      <c r="F20" s="6">
        <v>349.12</v>
      </c>
      <c r="G20" s="6">
        <v>0</v>
      </c>
      <c r="H20" s="6">
        <v>11221.81</v>
      </c>
    </row>
    <row r="21" spans="1:8" ht="16" x14ac:dyDescent="0.2">
      <c r="A21" s="3" t="s">
        <v>24</v>
      </c>
      <c r="B21" s="3" t="s">
        <v>25</v>
      </c>
      <c r="C21" s="3" t="s">
        <v>16</v>
      </c>
      <c r="D21" s="4">
        <v>12308.79</v>
      </c>
      <c r="E21" s="4">
        <v>980.21</v>
      </c>
      <c r="F21" s="4">
        <v>341.57</v>
      </c>
      <c r="G21" s="4">
        <v>0</v>
      </c>
      <c r="H21" s="4">
        <v>10987.01</v>
      </c>
    </row>
    <row r="22" spans="1:8" ht="16" x14ac:dyDescent="0.2">
      <c r="A22" s="5" t="s">
        <v>24</v>
      </c>
      <c r="B22" s="5" t="s">
        <v>25</v>
      </c>
      <c r="C22" s="5" t="s">
        <v>17</v>
      </c>
      <c r="D22" s="6">
        <v>12579.25</v>
      </c>
      <c r="E22" s="6">
        <v>1009.64</v>
      </c>
      <c r="F22" s="6">
        <v>349.07</v>
      </c>
      <c r="G22" s="6">
        <v>0</v>
      </c>
      <c r="H22" s="6">
        <v>11220.54</v>
      </c>
    </row>
    <row r="23" spans="1:8" ht="16" x14ac:dyDescent="0.2">
      <c r="A23" s="3" t="s">
        <v>24</v>
      </c>
      <c r="B23" s="3" t="s">
        <v>25</v>
      </c>
      <c r="C23" s="3" t="s">
        <v>18</v>
      </c>
      <c r="D23" s="4">
        <v>12483.25</v>
      </c>
      <c r="E23" s="4">
        <v>999.19</v>
      </c>
      <c r="F23" s="4">
        <v>346.41</v>
      </c>
      <c r="G23" s="4">
        <v>0</v>
      </c>
      <c r="H23" s="4">
        <v>11137.65</v>
      </c>
    </row>
    <row r="24" spans="1:8" ht="16" x14ac:dyDescent="0.2">
      <c r="A24" s="5" t="s">
        <v>24</v>
      </c>
      <c r="B24" s="5" t="s">
        <v>25</v>
      </c>
      <c r="C24" s="5" t="s">
        <v>19</v>
      </c>
      <c r="D24" s="6">
        <v>12478.97</v>
      </c>
      <c r="E24" s="6">
        <v>998.73</v>
      </c>
      <c r="F24" s="6">
        <v>346.29</v>
      </c>
      <c r="G24" s="6">
        <v>0</v>
      </c>
      <c r="H24" s="6">
        <v>11133.95</v>
      </c>
    </row>
    <row r="25" spans="1:8" ht="16" x14ac:dyDescent="0.2">
      <c r="A25" s="3" t="s">
        <v>24</v>
      </c>
      <c r="B25" s="3" t="s">
        <v>25</v>
      </c>
      <c r="C25" s="3" t="s">
        <v>20</v>
      </c>
      <c r="D25" s="4">
        <v>12131.42</v>
      </c>
      <c r="E25" s="4">
        <v>960.91</v>
      </c>
      <c r="F25" s="4">
        <v>336.65</v>
      </c>
      <c r="G25" s="4">
        <v>0</v>
      </c>
      <c r="H25" s="4">
        <v>10833.86</v>
      </c>
    </row>
    <row r="26" spans="1:8" ht="16" x14ac:dyDescent="0.2">
      <c r="A26" s="5" t="s">
        <v>24</v>
      </c>
      <c r="B26" s="5" t="s">
        <v>25</v>
      </c>
      <c r="C26" s="5" t="s">
        <v>21</v>
      </c>
      <c r="D26" s="6">
        <v>12162.01</v>
      </c>
      <c r="E26" s="6">
        <v>964.24</v>
      </c>
      <c r="F26" s="6">
        <v>337.5</v>
      </c>
      <c r="G26" s="6">
        <v>0</v>
      </c>
      <c r="H26" s="6">
        <v>10860.27</v>
      </c>
    </row>
    <row r="27" spans="1:8" ht="16" x14ac:dyDescent="0.2">
      <c r="A27" s="3" t="s">
        <v>24</v>
      </c>
      <c r="B27" s="3" t="s">
        <v>25</v>
      </c>
      <c r="C27" s="3" t="s">
        <v>22</v>
      </c>
      <c r="D27" s="4">
        <v>12701.58</v>
      </c>
      <c r="E27" s="4">
        <v>1028.25</v>
      </c>
      <c r="F27" s="4">
        <v>352.47</v>
      </c>
      <c r="G27" s="4">
        <v>0</v>
      </c>
      <c r="H27" s="4">
        <v>11320.86</v>
      </c>
    </row>
    <row r="28" spans="1:8" ht="16" x14ac:dyDescent="0.2">
      <c r="A28" s="5" t="s">
        <v>24</v>
      </c>
      <c r="B28" s="5" t="s">
        <v>25</v>
      </c>
      <c r="C28" s="5" t="s">
        <v>23</v>
      </c>
      <c r="D28" s="6">
        <v>12664.1</v>
      </c>
      <c r="E28" s="6">
        <v>1022.25</v>
      </c>
      <c r="F28" s="6">
        <v>351.43</v>
      </c>
      <c r="G28" s="6">
        <v>0</v>
      </c>
      <c r="H28" s="6">
        <v>11290.42</v>
      </c>
    </row>
    <row r="29" spans="1:8" ht="16" x14ac:dyDescent="0.2">
      <c r="A29" s="3" t="s">
        <v>26</v>
      </c>
      <c r="B29" s="3" t="s">
        <v>27</v>
      </c>
      <c r="C29" s="3" t="s">
        <v>12</v>
      </c>
      <c r="D29" s="4">
        <v>41252.07</v>
      </c>
      <c r="E29" s="4">
        <v>7050.31</v>
      </c>
      <c r="F29" s="4">
        <v>1144.74</v>
      </c>
      <c r="G29" s="4">
        <v>0</v>
      </c>
      <c r="H29" s="4">
        <v>33057.019999999997</v>
      </c>
    </row>
    <row r="30" spans="1:8" ht="16" x14ac:dyDescent="0.2">
      <c r="A30" s="5" t="s">
        <v>26</v>
      </c>
      <c r="B30" s="5" t="s">
        <v>27</v>
      </c>
      <c r="C30" s="5" t="s">
        <v>13</v>
      </c>
      <c r="D30" s="6">
        <v>40084.01</v>
      </c>
      <c r="E30" s="6">
        <v>6775.58</v>
      </c>
      <c r="F30" s="6">
        <v>1112.33</v>
      </c>
      <c r="G30" s="6">
        <v>0</v>
      </c>
      <c r="H30" s="6">
        <v>32196.1</v>
      </c>
    </row>
    <row r="31" spans="1:8" ht="16" x14ac:dyDescent="0.2">
      <c r="A31" s="3" t="s">
        <v>26</v>
      </c>
      <c r="B31" s="3" t="s">
        <v>27</v>
      </c>
      <c r="C31" s="3" t="s">
        <v>14</v>
      </c>
      <c r="D31" s="4">
        <v>39033.22</v>
      </c>
      <c r="E31" s="4">
        <v>6528.43</v>
      </c>
      <c r="F31" s="4">
        <v>1083.17</v>
      </c>
      <c r="G31" s="4">
        <v>0</v>
      </c>
      <c r="H31" s="4">
        <v>31421.62</v>
      </c>
    </row>
    <row r="32" spans="1:8" ht="16" x14ac:dyDescent="0.2">
      <c r="A32" s="5" t="s">
        <v>26</v>
      </c>
      <c r="B32" s="5" t="s">
        <v>27</v>
      </c>
      <c r="C32" s="5" t="s">
        <v>15</v>
      </c>
      <c r="D32" s="6">
        <v>39667.82</v>
      </c>
      <c r="E32" s="6">
        <v>6677.69</v>
      </c>
      <c r="F32" s="6">
        <v>1100.78</v>
      </c>
      <c r="G32" s="6">
        <v>0</v>
      </c>
      <c r="H32" s="6">
        <v>31889.35</v>
      </c>
    </row>
    <row r="33" spans="1:8" ht="16" x14ac:dyDescent="0.2">
      <c r="A33" s="3" t="s">
        <v>26</v>
      </c>
      <c r="B33" s="3" t="s">
        <v>27</v>
      </c>
      <c r="C33" s="3" t="s">
        <v>16</v>
      </c>
      <c r="D33" s="4">
        <v>40189.42</v>
      </c>
      <c r="E33" s="4">
        <v>6800.37</v>
      </c>
      <c r="F33" s="4">
        <v>1115.26</v>
      </c>
      <c r="G33" s="4">
        <v>0</v>
      </c>
      <c r="H33" s="4">
        <v>32273.79</v>
      </c>
    </row>
    <row r="34" spans="1:8" ht="16" x14ac:dyDescent="0.2">
      <c r="A34" s="5" t="s">
        <v>26</v>
      </c>
      <c r="B34" s="5" t="s">
        <v>27</v>
      </c>
      <c r="C34" s="5" t="s">
        <v>17</v>
      </c>
      <c r="D34" s="6">
        <v>39551.81</v>
      </c>
      <c r="E34" s="6">
        <v>6650.41</v>
      </c>
      <c r="F34" s="6">
        <v>1097.56</v>
      </c>
      <c r="G34" s="6">
        <v>0</v>
      </c>
      <c r="H34" s="6">
        <v>31803.84</v>
      </c>
    </row>
    <row r="35" spans="1:8" ht="16" x14ac:dyDescent="0.2">
      <c r="A35" s="3" t="s">
        <v>26</v>
      </c>
      <c r="B35" s="3" t="s">
        <v>27</v>
      </c>
      <c r="C35" s="3" t="s">
        <v>18</v>
      </c>
      <c r="D35" s="4">
        <v>39949.1</v>
      </c>
      <c r="E35" s="4">
        <v>6743.85</v>
      </c>
      <c r="F35" s="4">
        <v>1108.5899999999999</v>
      </c>
      <c r="G35" s="4">
        <v>0</v>
      </c>
      <c r="H35" s="4">
        <v>32096.66</v>
      </c>
    </row>
    <row r="36" spans="1:8" ht="16" x14ac:dyDescent="0.2">
      <c r="A36" s="5" t="s">
        <v>26</v>
      </c>
      <c r="B36" s="5" t="s">
        <v>27</v>
      </c>
      <c r="C36" s="5" t="s">
        <v>19</v>
      </c>
      <c r="D36" s="6">
        <v>40956.06</v>
      </c>
      <c r="E36" s="6">
        <v>6980.69</v>
      </c>
      <c r="F36" s="6">
        <v>1136.53</v>
      </c>
      <c r="G36" s="6">
        <v>0</v>
      </c>
      <c r="H36" s="6">
        <v>32838.839999999997</v>
      </c>
    </row>
    <row r="37" spans="1:8" ht="16" x14ac:dyDescent="0.2">
      <c r="A37" s="3" t="s">
        <v>26</v>
      </c>
      <c r="B37" s="3" t="s">
        <v>27</v>
      </c>
      <c r="C37" s="3" t="s">
        <v>20</v>
      </c>
      <c r="D37" s="4">
        <v>40541.53</v>
      </c>
      <c r="E37" s="4">
        <v>6883.19</v>
      </c>
      <c r="F37" s="4">
        <v>1125.03</v>
      </c>
      <c r="G37" s="4">
        <v>0</v>
      </c>
      <c r="H37" s="4">
        <v>32533.31</v>
      </c>
    </row>
    <row r="38" spans="1:8" ht="16" x14ac:dyDescent="0.2">
      <c r="A38" s="5" t="s">
        <v>26</v>
      </c>
      <c r="B38" s="5" t="s">
        <v>27</v>
      </c>
      <c r="C38" s="5" t="s">
        <v>21</v>
      </c>
      <c r="D38" s="6">
        <v>40237.410000000003</v>
      </c>
      <c r="E38" s="6">
        <v>6811.66</v>
      </c>
      <c r="F38" s="6">
        <v>1116.5899999999999</v>
      </c>
      <c r="G38" s="6">
        <v>0</v>
      </c>
      <c r="H38" s="6">
        <v>32309.16</v>
      </c>
    </row>
    <row r="39" spans="1:8" ht="16" x14ac:dyDescent="0.2">
      <c r="A39" s="3" t="s">
        <v>26</v>
      </c>
      <c r="B39" s="3" t="s">
        <v>27</v>
      </c>
      <c r="C39" s="3" t="s">
        <v>22</v>
      </c>
      <c r="D39" s="4">
        <v>38909.269999999997</v>
      </c>
      <c r="E39" s="4">
        <v>6499.28</v>
      </c>
      <c r="F39" s="4">
        <v>1079.73</v>
      </c>
      <c r="G39" s="4">
        <v>0</v>
      </c>
      <c r="H39" s="4">
        <v>31330.26</v>
      </c>
    </row>
    <row r="40" spans="1:8" ht="16" x14ac:dyDescent="0.2">
      <c r="A40" s="5" t="s">
        <v>26</v>
      </c>
      <c r="B40" s="5" t="s">
        <v>27</v>
      </c>
      <c r="C40" s="5" t="s">
        <v>23</v>
      </c>
      <c r="D40" s="6">
        <v>40558.080000000002</v>
      </c>
      <c r="E40" s="6">
        <v>6887.08</v>
      </c>
      <c r="F40" s="6">
        <v>1125.49</v>
      </c>
      <c r="G40" s="6">
        <v>0</v>
      </c>
      <c r="H40" s="6">
        <v>32545.51</v>
      </c>
    </row>
    <row r="41" spans="1:8" ht="16" x14ac:dyDescent="0.2">
      <c r="A41" s="3" t="s">
        <v>28</v>
      </c>
      <c r="B41" s="3" t="s">
        <v>29</v>
      </c>
      <c r="C41" s="3" t="s">
        <v>12</v>
      </c>
      <c r="D41" s="4">
        <v>20810.759999999998</v>
      </c>
      <c r="E41" s="4">
        <v>2556.83</v>
      </c>
      <c r="F41" s="4">
        <v>577.5</v>
      </c>
      <c r="G41" s="4">
        <v>0</v>
      </c>
      <c r="H41" s="4">
        <v>17676.43</v>
      </c>
    </row>
    <row r="42" spans="1:8" ht="16" x14ac:dyDescent="0.2">
      <c r="A42" s="5" t="s">
        <v>28</v>
      </c>
      <c r="B42" s="5" t="s">
        <v>29</v>
      </c>
      <c r="C42" s="5" t="s">
        <v>13</v>
      </c>
      <c r="D42" s="6">
        <v>20781.349999999999</v>
      </c>
      <c r="E42" s="6">
        <v>2550.5500000000002</v>
      </c>
      <c r="F42" s="6">
        <v>576.67999999999995</v>
      </c>
      <c r="G42" s="6">
        <v>0</v>
      </c>
      <c r="H42" s="6">
        <v>17654.12</v>
      </c>
    </row>
    <row r="43" spans="1:8" ht="16" x14ac:dyDescent="0.2">
      <c r="A43" s="3" t="s">
        <v>28</v>
      </c>
      <c r="B43" s="3" t="s">
        <v>29</v>
      </c>
      <c r="C43" s="3" t="s">
        <v>14</v>
      </c>
      <c r="D43" s="4">
        <v>21015.87</v>
      </c>
      <c r="E43" s="4">
        <v>2600.64</v>
      </c>
      <c r="F43" s="4">
        <v>583.19000000000005</v>
      </c>
      <c r="G43" s="4">
        <v>0</v>
      </c>
      <c r="H43" s="4">
        <v>17832.04</v>
      </c>
    </row>
    <row r="44" spans="1:8" ht="16" x14ac:dyDescent="0.2">
      <c r="A44" s="5" t="s">
        <v>28</v>
      </c>
      <c r="B44" s="5" t="s">
        <v>29</v>
      </c>
      <c r="C44" s="5" t="s">
        <v>15</v>
      </c>
      <c r="D44" s="6">
        <v>20906.400000000001</v>
      </c>
      <c r="E44" s="6">
        <v>2577.2600000000002</v>
      </c>
      <c r="F44" s="6">
        <v>580.15</v>
      </c>
      <c r="G44" s="6">
        <v>0</v>
      </c>
      <c r="H44" s="6">
        <v>17748.990000000002</v>
      </c>
    </row>
    <row r="45" spans="1:8" ht="16" x14ac:dyDescent="0.2">
      <c r="A45" s="3" t="s">
        <v>28</v>
      </c>
      <c r="B45" s="3" t="s">
        <v>29</v>
      </c>
      <c r="C45" s="3" t="s">
        <v>16</v>
      </c>
      <c r="D45" s="4">
        <v>20427.169999999998</v>
      </c>
      <c r="E45" s="4">
        <v>2474.9</v>
      </c>
      <c r="F45" s="4">
        <v>566.85</v>
      </c>
      <c r="G45" s="4">
        <v>0</v>
      </c>
      <c r="H45" s="4">
        <v>17385.419999999998</v>
      </c>
    </row>
    <row r="46" spans="1:8" ht="16" x14ac:dyDescent="0.2">
      <c r="A46" s="5" t="s">
        <v>28</v>
      </c>
      <c r="B46" s="5" t="s">
        <v>29</v>
      </c>
      <c r="C46" s="5" t="s">
        <v>17</v>
      </c>
      <c r="D46" s="6">
        <v>20916.32</v>
      </c>
      <c r="E46" s="6">
        <v>2579.38</v>
      </c>
      <c r="F46" s="6">
        <v>580.42999999999995</v>
      </c>
      <c r="G46" s="6">
        <v>0</v>
      </c>
      <c r="H46" s="6">
        <v>17756.509999999998</v>
      </c>
    </row>
    <row r="47" spans="1:8" ht="16" x14ac:dyDescent="0.2">
      <c r="A47" s="3" t="s">
        <v>28</v>
      </c>
      <c r="B47" s="3" t="s">
        <v>29</v>
      </c>
      <c r="C47" s="3" t="s">
        <v>18</v>
      </c>
      <c r="D47" s="4">
        <v>21222.15</v>
      </c>
      <c r="E47" s="4">
        <v>2644.7</v>
      </c>
      <c r="F47" s="4">
        <v>588.91</v>
      </c>
      <c r="G47" s="4">
        <v>0</v>
      </c>
      <c r="H47" s="4">
        <v>17988.54</v>
      </c>
    </row>
    <row r="48" spans="1:8" ht="16" x14ac:dyDescent="0.2">
      <c r="A48" s="5" t="s">
        <v>28</v>
      </c>
      <c r="B48" s="5" t="s">
        <v>29</v>
      </c>
      <c r="C48" s="5" t="s">
        <v>19</v>
      </c>
      <c r="D48" s="6">
        <v>21034</v>
      </c>
      <c r="E48" s="6">
        <v>2604.5100000000002</v>
      </c>
      <c r="F48" s="6">
        <v>583.69000000000005</v>
      </c>
      <c r="G48" s="6">
        <v>0</v>
      </c>
      <c r="H48" s="6">
        <v>17845.8</v>
      </c>
    </row>
    <row r="49" spans="1:8" ht="16" x14ac:dyDescent="0.2">
      <c r="A49" s="3" t="s">
        <v>28</v>
      </c>
      <c r="B49" s="3" t="s">
        <v>29</v>
      </c>
      <c r="C49" s="3" t="s">
        <v>20</v>
      </c>
      <c r="D49" s="4">
        <v>20897.09</v>
      </c>
      <c r="E49" s="4">
        <v>2575.27</v>
      </c>
      <c r="F49" s="4">
        <v>579.89</v>
      </c>
      <c r="G49" s="4">
        <v>0</v>
      </c>
      <c r="H49" s="4">
        <v>17741.93</v>
      </c>
    </row>
    <row r="50" spans="1:8" ht="16" x14ac:dyDescent="0.2">
      <c r="A50" s="5" t="s">
        <v>28</v>
      </c>
      <c r="B50" s="5" t="s">
        <v>29</v>
      </c>
      <c r="C50" s="5" t="s">
        <v>21</v>
      </c>
      <c r="D50" s="6">
        <v>21431.16</v>
      </c>
      <c r="E50" s="6">
        <v>2689.35</v>
      </c>
      <c r="F50" s="6">
        <v>594.71</v>
      </c>
      <c r="G50" s="6">
        <v>0</v>
      </c>
      <c r="H50" s="6">
        <v>18147.099999999999</v>
      </c>
    </row>
    <row r="51" spans="1:8" ht="16" x14ac:dyDescent="0.2">
      <c r="A51" s="3" t="s">
        <v>28</v>
      </c>
      <c r="B51" s="3" t="s">
        <v>29</v>
      </c>
      <c r="C51" s="3" t="s">
        <v>22</v>
      </c>
      <c r="D51" s="4">
        <v>20605.560000000001</v>
      </c>
      <c r="E51" s="4">
        <v>2513</v>
      </c>
      <c r="F51" s="4">
        <v>571.79999999999995</v>
      </c>
      <c r="G51" s="4">
        <v>0</v>
      </c>
      <c r="H51" s="4">
        <v>17520.759999999998</v>
      </c>
    </row>
    <row r="52" spans="1:8" ht="16" x14ac:dyDescent="0.2">
      <c r="A52" s="5" t="s">
        <v>28</v>
      </c>
      <c r="B52" s="5" t="s">
        <v>29</v>
      </c>
      <c r="C52" s="5" t="s">
        <v>23</v>
      </c>
      <c r="D52" s="6">
        <v>20807.939999999999</v>
      </c>
      <c r="E52" s="6">
        <v>2556.23</v>
      </c>
      <c r="F52" s="6">
        <v>577.41999999999996</v>
      </c>
      <c r="G52" s="6">
        <v>0</v>
      </c>
      <c r="H52" s="6">
        <v>17674.29</v>
      </c>
    </row>
    <row r="53" spans="1:8" ht="16" x14ac:dyDescent="0.2">
      <c r="A53" s="3" t="s">
        <v>30</v>
      </c>
      <c r="B53" s="3" t="s">
        <v>31</v>
      </c>
      <c r="C53" s="3" t="s">
        <v>12</v>
      </c>
      <c r="D53" s="4">
        <v>13687.82</v>
      </c>
      <c r="E53" s="4">
        <v>1186.05</v>
      </c>
      <c r="F53" s="4">
        <v>379.84</v>
      </c>
      <c r="G53" s="4">
        <v>0</v>
      </c>
      <c r="H53" s="4">
        <v>12121.93</v>
      </c>
    </row>
    <row r="54" spans="1:8" ht="16" x14ac:dyDescent="0.2">
      <c r="A54" s="5" t="s">
        <v>30</v>
      </c>
      <c r="B54" s="5" t="s">
        <v>31</v>
      </c>
      <c r="C54" s="5" t="s">
        <v>13</v>
      </c>
      <c r="D54" s="6">
        <v>13719.72</v>
      </c>
      <c r="E54" s="6">
        <v>1191.1500000000001</v>
      </c>
      <c r="F54" s="6">
        <v>380.72</v>
      </c>
      <c r="G54" s="6">
        <v>0</v>
      </c>
      <c r="H54" s="6">
        <v>12147.85</v>
      </c>
    </row>
    <row r="55" spans="1:8" ht="16" x14ac:dyDescent="0.2">
      <c r="A55" s="3" t="s">
        <v>30</v>
      </c>
      <c r="B55" s="3" t="s">
        <v>31</v>
      </c>
      <c r="C55" s="3" t="s">
        <v>14</v>
      </c>
      <c r="D55" s="4">
        <v>13314.65</v>
      </c>
      <c r="E55" s="4">
        <v>1126.3399999999999</v>
      </c>
      <c r="F55" s="4">
        <v>369.48</v>
      </c>
      <c r="G55" s="4">
        <v>0</v>
      </c>
      <c r="H55" s="4">
        <v>11818.83</v>
      </c>
    </row>
    <row r="56" spans="1:8" ht="16" x14ac:dyDescent="0.2">
      <c r="A56" s="5" t="s">
        <v>30</v>
      </c>
      <c r="B56" s="5" t="s">
        <v>31</v>
      </c>
      <c r="C56" s="5" t="s">
        <v>15</v>
      </c>
      <c r="D56" s="6">
        <v>13478.41</v>
      </c>
      <c r="E56" s="6">
        <v>1152.54</v>
      </c>
      <c r="F56" s="6">
        <v>374.03</v>
      </c>
      <c r="G56" s="6">
        <v>0</v>
      </c>
      <c r="H56" s="6">
        <v>11951.84</v>
      </c>
    </row>
    <row r="57" spans="1:8" ht="16" x14ac:dyDescent="0.2">
      <c r="A57" s="3" t="s">
        <v>30</v>
      </c>
      <c r="B57" s="3" t="s">
        <v>31</v>
      </c>
      <c r="C57" s="3" t="s">
        <v>16</v>
      </c>
      <c r="D57" s="4">
        <v>13399.86</v>
      </c>
      <c r="E57" s="4">
        <v>1139.97</v>
      </c>
      <c r="F57" s="4">
        <v>371.85</v>
      </c>
      <c r="G57" s="4">
        <v>0</v>
      </c>
      <c r="H57" s="4">
        <v>11888.04</v>
      </c>
    </row>
    <row r="58" spans="1:8" ht="16" x14ac:dyDescent="0.2">
      <c r="A58" s="5" t="s">
        <v>30</v>
      </c>
      <c r="B58" s="5" t="s">
        <v>31</v>
      </c>
      <c r="C58" s="5" t="s">
        <v>17</v>
      </c>
      <c r="D58" s="6">
        <v>13333.98</v>
      </c>
      <c r="E58" s="6">
        <v>1129.43</v>
      </c>
      <c r="F58" s="6">
        <v>370.02</v>
      </c>
      <c r="G58" s="6">
        <v>0</v>
      </c>
      <c r="H58" s="6">
        <v>11834.53</v>
      </c>
    </row>
    <row r="59" spans="1:8" ht="16" x14ac:dyDescent="0.2">
      <c r="A59" s="3" t="s">
        <v>30</v>
      </c>
      <c r="B59" s="3" t="s">
        <v>31</v>
      </c>
      <c r="C59" s="3" t="s">
        <v>18</v>
      </c>
      <c r="D59" s="4">
        <v>13873.22</v>
      </c>
      <c r="E59" s="4">
        <v>1215.71</v>
      </c>
      <c r="F59" s="4">
        <v>384.98</v>
      </c>
      <c r="G59" s="4">
        <v>0</v>
      </c>
      <c r="H59" s="4">
        <v>12272.53</v>
      </c>
    </row>
    <row r="60" spans="1:8" ht="16" x14ac:dyDescent="0.2">
      <c r="A60" s="5" t="s">
        <v>30</v>
      </c>
      <c r="B60" s="5" t="s">
        <v>31</v>
      </c>
      <c r="C60" s="5" t="s">
        <v>19</v>
      </c>
      <c r="D60" s="6">
        <v>14023.01</v>
      </c>
      <c r="E60" s="6">
        <v>1239.68</v>
      </c>
      <c r="F60" s="6">
        <v>389.14</v>
      </c>
      <c r="G60" s="6">
        <v>0</v>
      </c>
      <c r="H60" s="6">
        <v>12394.19</v>
      </c>
    </row>
    <row r="61" spans="1:8" ht="16" x14ac:dyDescent="0.2">
      <c r="A61" s="3" t="s">
        <v>30</v>
      </c>
      <c r="B61" s="3" t="s">
        <v>31</v>
      </c>
      <c r="C61" s="3" t="s">
        <v>20</v>
      </c>
      <c r="D61" s="4">
        <v>13378.13</v>
      </c>
      <c r="E61" s="4">
        <v>1136.5</v>
      </c>
      <c r="F61" s="4">
        <v>371.24</v>
      </c>
      <c r="G61" s="4">
        <v>0</v>
      </c>
      <c r="H61" s="4">
        <v>11870.39</v>
      </c>
    </row>
    <row r="62" spans="1:8" ht="16" x14ac:dyDescent="0.2">
      <c r="A62" s="5" t="s">
        <v>30</v>
      </c>
      <c r="B62" s="5" t="s">
        <v>31</v>
      </c>
      <c r="C62" s="5" t="s">
        <v>21</v>
      </c>
      <c r="D62" s="6">
        <v>13805.5</v>
      </c>
      <c r="E62" s="6">
        <v>1204.8800000000001</v>
      </c>
      <c r="F62" s="6">
        <v>383.1</v>
      </c>
      <c r="G62" s="6">
        <v>0</v>
      </c>
      <c r="H62" s="6">
        <v>12217.52</v>
      </c>
    </row>
    <row r="63" spans="1:8" ht="16" x14ac:dyDescent="0.2">
      <c r="A63" s="3" t="s">
        <v>30</v>
      </c>
      <c r="B63" s="3" t="s">
        <v>31</v>
      </c>
      <c r="C63" s="3" t="s">
        <v>22</v>
      </c>
      <c r="D63" s="4">
        <v>13680.29</v>
      </c>
      <c r="E63" s="4">
        <v>1184.8399999999999</v>
      </c>
      <c r="F63" s="4">
        <v>379.63</v>
      </c>
      <c r="G63" s="4">
        <v>0</v>
      </c>
      <c r="H63" s="4">
        <v>12115.82</v>
      </c>
    </row>
    <row r="64" spans="1:8" ht="16" x14ac:dyDescent="0.2">
      <c r="A64" s="5" t="s">
        <v>30</v>
      </c>
      <c r="B64" s="5" t="s">
        <v>31</v>
      </c>
      <c r="C64" s="5" t="s">
        <v>23</v>
      </c>
      <c r="D64" s="6">
        <v>13690.22</v>
      </c>
      <c r="E64" s="6">
        <v>1186.43</v>
      </c>
      <c r="F64" s="6">
        <v>379.9</v>
      </c>
      <c r="G64" s="6">
        <v>0</v>
      </c>
      <c r="H64" s="6">
        <v>12123.89</v>
      </c>
    </row>
    <row r="65" spans="1:8" ht="16" x14ac:dyDescent="0.2">
      <c r="A65" s="3" t="s">
        <v>32</v>
      </c>
      <c r="B65" s="3" t="s">
        <v>33</v>
      </c>
      <c r="C65" s="3" t="s">
        <v>12</v>
      </c>
      <c r="D65" s="4">
        <v>44439.63</v>
      </c>
      <c r="E65" s="4">
        <v>7800.02</v>
      </c>
      <c r="F65" s="4">
        <v>1233.2</v>
      </c>
      <c r="G65" s="4">
        <v>0</v>
      </c>
      <c r="H65" s="4">
        <v>35406.410000000003</v>
      </c>
    </row>
    <row r="66" spans="1:8" ht="16" x14ac:dyDescent="0.2">
      <c r="A66" s="5" t="s">
        <v>32</v>
      </c>
      <c r="B66" s="5" t="s">
        <v>33</v>
      </c>
      <c r="C66" s="5" t="s">
        <v>13</v>
      </c>
      <c r="D66" s="6">
        <v>43764.02</v>
      </c>
      <c r="E66" s="6">
        <v>7641.12</v>
      </c>
      <c r="F66" s="6">
        <v>1214.45</v>
      </c>
      <c r="G66" s="6">
        <v>0</v>
      </c>
      <c r="H66" s="6">
        <v>34908.449999999997</v>
      </c>
    </row>
    <row r="67" spans="1:8" ht="16" x14ac:dyDescent="0.2">
      <c r="A67" s="3" t="s">
        <v>32</v>
      </c>
      <c r="B67" s="3" t="s">
        <v>33</v>
      </c>
      <c r="C67" s="3" t="s">
        <v>14</v>
      </c>
      <c r="D67" s="4">
        <v>43321.32</v>
      </c>
      <c r="E67" s="4">
        <v>7536.99</v>
      </c>
      <c r="F67" s="4">
        <v>1202.17</v>
      </c>
      <c r="G67" s="4">
        <v>0</v>
      </c>
      <c r="H67" s="4">
        <v>34582.160000000003</v>
      </c>
    </row>
    <row r="68" spans="1:8" ht="16" x14ac:dyDescent="0.2">
      <c r="A68" s="5" t="s">
        <v>32</v>
      </c>
      <c r="B68" s="5" t="s">
        <v>33</v>
      </c>
      <c r="C68" s="5" t="s">
        <v>15</v>
      </c>
      <c r="D68" s="6">
        <v>43354.18</v>
      </c>
      <c r="E68" s="6">
        <v>7544.72</v>
      </c>
      <c r="F68" s="6">
        <v>1203.08</v>
      </c>
      <c r="G68" s="6">
        <v>0</v>
      </c>
      <c r="H68" s="6">
        <v>34606.379999999997</v>
      </c>
    </row>
    <row r="69" spans="1:8" ht="16" x14ac:dyDescent="0.2">
      <c r="A69" s="3" t="s">
        <v>32</v>
      </c>
      <c r="B69" s="3" t="s">
        <v>33</v>
      </c>
      <c r="C69" s="3" t="s">
        <v>16</v>
      </c>
      <c r="D69" s="4">
        <v>44553.11</v>
      </c>
      <c r="E69" s="4">
        <v>7826.71</v>
      </c>
      <c r="F69" s="4">
        <v>1236.3499999999999</v>
      </c>
      <c r="G69" s="4">
        <v>0</v>
      </c>
      <c r="H69" s="4">
        <v>35490.050000000003</v>
      </c>
    </row>
    <row r="70" spans="1:8" ht="16" x14ac:dyDescent="0.2">
      <c r="A70" s="5" t="s">
        <v>32</v>
      </c>
      <c r="B70" s="5" t="s">
        <v>33</v>
      </c>
      <c r="C70" s="5" t="s">
        <v>17</v>
      </c>
      <c r="D70" s="6">
        <v>44703.64</v>
      </c>
      <c r="E70" s="6">
        <v>7862.12</v>
      </c>
      <c r="F70" s="6">
        <v>1240.53</v>
      </c>
      <c r="G70" s="6">
        <v>0</v>
      </c>
      <c r="H70" s="6">
        <v>35600.99</v>
      </c>
    </row>
    <row r="71" spans="1:8" ht="16" x14ac:dyDescent="0.2">
      <c r="A71" s="3" t="s">
        <v>32</v>
      </c>
      <c r="B71" s="3" t="s">
        <v>33</v>
      </c>
      <c r="C71" s="3" t="s">
        <v>18</v>
      </c>
      <c r="D71" s="4">
        <v>43552.83</v>
      </c>
      <c r="E71" s="4">
        <v>7591.45</v>
      </c>
      <c r="F71" s="4">
        <v>1208.5899999999999</v>
      </c>
      <c r="G71" s="4">
        <v>0</v>
      </c>
      <c r="H71" s="4">
        <v>34752.79</v>
      </c>
    </row>
    <row r="72" spans="1:8" ht="16" x14ac:dyDescent="0.2">
      <c r="A72" s="5" t="s">
        <v>32</v>
      </c>
      <c r="B72" s="5" t="s">
        <v>33</v>
      </c>
      <c r="C72" s="5" t="s">
        <v>19</v>
      </c>
      <c r="D72" s="6">
        <v>43589.74</v>
      </c>
      <c r="E72" s="6">
        <v>7600.13</v>
      </c>
      <c r="F72" s="6">
        <v>1209.6199999999999</v>
      </c>
      <c r="G72" s="6">
        <v>0</v>
      </c>
      <c r="H72" s="6">
        <v>34779.99</v>
      </c>
    </row>
    <row r="73" spans="1:8" ht="16" x14ac:dyDescent="0.2">
      <c r="A73" s="3" t="s">
        <v>32</v>
      </c>
      <c r="B73" s="3" t="s">
        <v>33</v>
      </c>
      <c r="C73" s="3" t="s">
        <v>20</v>
      </c>
      <c r="D73" s="4">
        <v>43876.29</v>
      </c>
      <c r="E73" s="4">
        <v>7667.52</v>
      </c>
      <c r="F73" s="4">
        <v>1217.57</v>
      </c>
      <c r="G73" s="4">
        <v>0</v>
      </c>
      <c r="H73" s="4">
        <v>34991.199999999997</v>
      </c>
    </row>
    <row r="74" spans="1:8" ht="16" x14ac:dyDescent="0.2">
      <c r="A74" s="5" t="s">
        <v>32</v>
      </c>
      <c r="B74" s="5" t="s">
        <v>33</v>
      </c>
      <c r="C74" s="5" t="s">
        <v>21</v>
      </c>
      <c r="D74" s="6">
        <v>42932.58</v>
      </c>
      <c r="E74" s="6">
        <v>7445.56</v>
      </c>
      <c r="F74" s="6">
        <v>1191.3800000000001</v>
      </c>
      <c r="G74" s="6">
        <v>0</v>
      </c>
      <c r="H74" s="6">
        <v>34295.64</v>
      </c>
    </row>
    <row r="75" spans="1:8" ht="16" x14ac:dyDescent="0.2">
      <c r="A75" s="3" t="s">
        <v>32</v>
      </c>
      <c r="B75" s="3" t="s">
        <v>33</v>
      </c>
      <c r="C75" s="3" t="s">
        <v>22</v>
      </c>
      <c r="D75" s="4">
        <v>44215.199999999997</v>
      </c>
      <c r="E75" s="4">
        <v>7747.24</v>
      </c>
      <c r="F75" s="4">
        <v>1226.97</v>
      </c>
      <c r="G75" s="4">
        <v>0</v>
      </c>
      <c r="H75" s="4">
        <v>35240.99</v>
      </c>
    </row>
    <row r="76" spans="1:8" ht="16" x14ac:dyDescent="0.2">
      <c r="A76" s="5" t="s">
        <v>32</v>
      </c>
      <c r="B76" s="5" t="s">
        <v>33</v>
      </c>
      <c r="C76" s="5" t="s">
        <v>23</v>
      </c>
      <c r="D76" s="6">
        <v>43438.86</v>
      </c>
      <c r="E76" s="6">
        <v>7564.64</v>
      </c>
      <c r="F76" s="6">
        <v>1205.43</v>
      </c>
      <c r="G76" s="6">
        <v>0</v>
      </c>
      <c r="H76" s="6">
        <v>34668.79</v>
      </c>
    </row>
    <row r="77" spans="1:8" ht="16" x14ac:dyDescent="0.2">
      <c r="A77" s="3" t="s">
        <v>34</v>
      </c>
      <c r="B77" s="3" t="s">
        <v>35</v>
      </c>
      <c r="C77" s="3" t="s">
        <v>12</v>
      </c>
      <c r="D77" s="4">
        <v>17262.580000000002</v>
      </c>
      <c r="E77" s="4">
        <v>1808.27</v>
      </c>
      <c r="F77" s="4">
        <v>479.04</v>
      </c>
      <c r="G77" s="4">
        <v>0</v>
      </c>
      <c r="H77" s="4">
        <v>14975.27</v>
      </c>
    </row>
    <row r="78" spans="1:8" ht="16" x14ac:dyDescent="0.2">
      <c r="A78" s="5" t="s">
        <v>34</v>
      </c>
      <c r="B78" s="5" t="s">
        <v>35</v>
      </c>
      <c r="C78" s="5" t="s">
        <v>13</v>
      </c>
      <c r="D78" s="6">
        <v>16805.599999999999</v>
      </c>
      <c r="E78" s="6">
        <v>1726.38</v>
      </c>
      <c r="F78" s="6">
        <v>466.36</v>
      </c>
      <c r="G78" s="6">
        <v>0</v>
      </c>
      <c r="H78" s="6">
        <v>14612.86</v>
      </c>
    </row>
    <row r="79" spans="1:8" ht="16" x14ac:dyDescent="0.2">
      <c r="A79" s="3" t="s">
        <v>34</v>
      </c>
      <c r="B79" s="3" t="s">
        <v>35</v>
      </c>
      <c r="C79" s="3" t="s">
        <v>14</v>
      </c>
      <c r="D79" s="4">
        <v>16665.18</v>
      </c>
      <c r="E79" s="4">
        <v>1701.22</v>
      </c>
      <c r="F79" s="4">
        <v>462.46</v>
      </c>
      <c r="G79" s="4">
        <v>0</v>
      </c>
      <c r="H79" s="4">
        <v>14501.5</v>
      </c>
    </row>
    <row r="80" spans="1:8" ht="16" x14ac:dyDescent="0.2">
      <c r="A80" s="5" t="s">
        <v>34</v>
      </c>
      <c r="B80" s="5" t="s">
        <v>35</v>
      </c>
      <c r="C80" s="5" t="s">
        <v>15</v>
      </c>
      <c r="D80" s="6">
        <v>16639.53</v>
      </c>
      <c r="E80" s="6">
        <v>1696.62</v>
      </c>
      <c r="F80" s="6">
        <v>461.75</v>
      </c>
      <c r="G80" s="6">
        <v>0</v>
      </c>
      <c r="H80" s="6">
        <v>14481.16</v>
      </c>
    </row>
    <row r="81" spans="1:8" ht="16" x14ac:dyDescent="0.2">
      <c r="A81" s="3" t="s">
        <v>34</v>
      </c>
      <c r="B81" s="3" t="s">
        <v>35</v>
      </c>
      <c r="C81" s="3" t="s">
        <v>16</v>
      </c>
      <c r="D81" s="4">
        <v>16400.68</v>
      </c>
      <c r="E81" s="4">
        <v>1653.82</v>
      </c>
      <c r="F81" s="4">
        <v>455.12</v>
      </c>
      <c r="G81" s="4">
        <v>0</v>
      </c>
      <c r="H81" s="4">
        <v>14291.74</v>
      </c>
    </row>
    <row r="82" spans="1:8" ht="16" x14ac:dyDescent="0.2">
      <c r="A82" s="5" t="s">
        <v>34</v>
      </c>
      <c r="B82" s="5" t="s">
        <v>35</v>
      </c>
      <c r="C82" s="5" t="s">
        <v>17</v>
      </c>
      <c r="D82" s="6">
        <v>17030.93</v>
      </c>
      <c r="E82" s="6">
        <v>1766.76</v>
      </c>
      <c r="F82" s="6">
        <v>472.61</v>
      </c>
      <c r="G82" s="6">
        <v>0</v>
      </c>
      <c r="H82" s="6">
        <v>14791.56</v>
      </c>
    </row>
    <row r="83" spans="1:8" ht="16" x14ac:dyDescent="0.2">
      <c r="A83" s="3" t="s">
        <v>34</v>
      </c>
      <c r="B83" s="3" t="s">
        <v>35</v>
      </c>
      <c r="C83" s="3" t="s">
        <v>18</v>
      </c>
      <c r="D83" s="4">
        <v>16971.84</v>
      </c>
      <c r="E83" s="4">
        <v>1756.17</v>
      </c>
      <c r="F83" s="4">
        <v>470.97</v>
      </c>
      <c r="G83" s="4">
        <v>0</v>
      </c>
      <c r="H83" s="4">
        <v>14744.7</v>
      </c>
    </row>
    <row r="84" spans="1:8" ht="16" x14ac:dyDescent="0.2">
      <c r="A84" s="5" t="s">
        <v>34</v>
      </c>
      <c r="B84" s="5" t="s">
        <v>35</v>
      </c>
      <c r="C84" s="5" t="s">
        <v>19</v>
      </c>
      <c r="D84" s="6">
        <v>16831.07</v>
      </c>
      <c r="E84" s="6">
        <v>1730.95</v>
      </c>
      <c r="F84" s="6">
        <v>467.06</v>
      </c>
      <c r="G84" s="6">
        <v>0</v>
      </c>
      <c r="H84" s="6">
        <v>14633.06</v>
      </c>
    </row>
    <row r="85" spans="1:8" ht="16" x14ac:dyDescent="0.2">
      <c r="A85" s="3" t="s">
        <v>34</v>
      </c>
      <c r="B85" s="3" t="s">
        <v>35</v>
      </c>
      <c r="C85" s="3" t="s">
        <v>20</v>
      </c>
      <c r="D85" s="4">
        <v>16896.53</v>
      </c>
      <c r="E85" s="4">
        <v>1742.68</v>
      </c>
      <c r="F85" s="4">
        <v>468.88</v>
      </c>
      <c r="G85" s="4">
        <v>0</v>
      </c>
      <c r="H85" s="4">
        <v>14684.97</v>
      </c>
    </row>
    <row r="86" spans="1:8" ht="16" x14ac:dyDescent="0.2">
      <c r="A86" s="5" t="s">
        <v>34</v>
      </c>
      <c r="B86" s="5" t="s">
        <v>35</v>
      </c>
      <c r="C86" s="5" t="s">
        <v>21</v>
      </c>
      <c r="D86" s="6">
        <v>16862.75</v>
      </c>
      <c r="E86" s="6">
        <v>1736.62</v>
      </c>
      <c r="F86" s="6">
        <v>467.94</v>
      </c>
      <c r="G86" s="6">
        <v>0</v>
      </c>
      <c r="H86" s="6">
        <v>14658.19</v>
      </c>
    </row>
    <row r="87" spans="1:8" ht="16" x14ac:dyDescent="0.2">
      <c r="A87" s="3" t="s">
        <v>34</v>
      </c>
      <c r="B87" s="3" t="s">
        <v>35</v>
      </c>
      <c r="C87" s="3" t="s">
        <v>22</v>
      </c>
      <c r="D87" s="4">
        <v>17300.099999999999</v>
      </c>
      <c r="E87" s="4">
        <v>1815</v>
      </c>
      <c r="F87" s="4">
        <v>480.08</v>
      </c>
      <c r="G87" s="4">
        <v>0</v>
      </c>
      <c r="H87" s="4">
        <v>15005.02</v>
      </c>
    </row>
    <row r="88" spans="1:8" ht="16" x14ac:dyDescent="0.2">
      <c r="A88" s="5" t="s">
        <v>34</v>
      </c>
      <c r="B88" s="5" t="s">
        <v>35</v>
      </c>
      <c r="C88" s="5" t="s">
        <v>23</v>
      </c>
      <c r="D88" s="6">
        <v>16630.5</v>
      </c>
      <c r="E88" s="6">
        <v>1695</v>
      </c>
      <c r="F88" s="6">
        <v>461.5</v>
      </c>
      <c r="G88" s="6">
        <v>0</v>
      </c>
      <c r="H88" s="6">
        <v>14474</v>
      </c>
    </row>
    <row r="89" spans="1:8" ht="16" x14ac:dyDescent="0.2">
      <c r="A89" s="3" t="s">
        <v>36</v>
      </c>
      <c r="B89" s="3" t="s">
        <v>37</v>
      </c>
      <c r="C89" s="3" t="s">
        <v>12</v>
      </c>
      <c r="D89" s="4">
        <v>26873.84</v>
      </c>
      <c r="E89" s="4">
        <v>3851.9</v>
      </c>
      <c r="F89" s="4">
        <v>745.75</v>
      </c>
      <c r="G89" s="4">
        <v>0</v>
      </c>
      <c r="H89" s="4">
        <v>22276.19</v>
      </c>
    </row>
    <row r="90" spans="1:8" ht="16" x14ac:dyDescent="0.2">
      <c r="A90" s="5" t="s">
        <v>36</v>
      </c>
      <c r="B90" s="5" t="s">
        <v>37</v>
      </c>
      <c r="C90" s="5" t="s">
        <v>13</v>
      </c>
      <c r="D90" s="6">
        <v>27381.27</v>
      </c>
      <c r="E90" s="6">
        <v>3960.29</v>
      </c>
      <c r="F90" s="6">
        <v>759.83</v>
      </c>
      <c r="G90" s="6">
        <v>0</v>
      </c>
      <c r="H90" s="6">
        <v>22661.15</v>
      </c>
    </row>
    <row r="91" spans="1:8" ht="16" x14ac:dyDescent="0.2">
      <c r="A91" s="3" t="s">
        <v>36</v>
      </c>
      <c r="B91" s="3" t="s">
        <v>37</v>
      </c>
      <c r="C91" s="3" t="s">
        <v>14</v>
      </c>
      <c r="D91" s="4">
        <v>27351.919999999998</v>
      </c>
      <c r="E91" s="4">
        <v>3954.02</v>
      </c>
      <c r="F91" s="4">
        <v>759.02</v>
      </c>
      <c r="G91" s="4">
        <v>0</v>
      </c>
      <c r="H91" s="4">
        <v>22638.880000000001</v>
      </c>
    </row>
    <row r="92" spans="1:8" ht="16" x14ac:dyDescent="0.2">
      <c r="A92" s="5" t="s">
        <v>36</v>
      </c>
      <c r="B92" s="5" t="s">
        <v>37</v>
      </c>
      <c r="C92" s="5" t="s">
        <v>15</v>
      </c>
      <c r="D92" s="6">
        <v>26948.89</v>
      </c>
      <c r="E92" s="6">
        <v>3867.94</v>
      </c>
      <c r="F92" s="6">
        <v>747.83</v>
      </c>
      <c r="G92" s="6">
        <v>0</v>
      </c>
      <c r="H92" s="6">
        <v>22333.119999999999</v>
      </c>
    </row>
    <row r="93" spans="1:8" ht="16" x14ac:dyDescent="0.2">
      <c r="A93" s="3" t="s">
        <v>36</v>
      </c>
      <c r="B93" s="3" t="s">
        <v>37</v>
      </c>
      <c r="C93" s="3" t="s">
        <v>16</v>
      </c>
      <c r="D93" s="4">
        <v>27511.93</v>
      </c>
      <c r="E93" s="4">
        <v>3988.2</v>
      </c>
      <c r="F93" s="4">
        <v>763.46</v>
      </c>
      <c r="G93" s="4">
        <v>0</v>
      </c>
      <c r="H93" s="4">
        <v>22760.27</v>
      </c>
    </row>
    <row r="94" spans="1:8" ht="16" x14ac:dyDescent="0.2">
      <c r="A94" s="5" t="s">
        <v>36</v>
      </c>
      <c r="B94" s="5" t="s">
        <v>37</v>
      </c>
      <c r="C94" s="5" t="s">
        <v>17</v>
      </c>
      <c r="D94" s="6">
        <v>27389.69</v>
      </c>
      <c r="E94" s="6">
        <v>3962.09</v>
      </c>
      <c r="F94" s="6">
        <v>760.06</v>
      </c>
      <c r="G94" s="6">
        <v>0</v>
      </c>
      <c r="H94" s="6">
        <v>22667.54</v>
      </c>
    </row>
    <row r="95" spans="1:8" ht="16" x14ac:dyDescent="0.2">
      <c r="A95" s="3" t="s">
        <v>36</v>
      </c>
      <c r="B95" s="3" t="s">
        <v>37</v>
      </c>
      <c r="C95" s="3" t="s">
        <v>18</v>
      </c>
      <c r="D95" s="4">
        <v>26560.26</v>
      </c>
      <c r="E95" s="4">
        <v>3784.92</v>
      </c>
      <c r="F95" s="4">
        <v>737.05</v>
      </c>
      <c r="G95" s="4">
        <v>0</v>
      </c>
      <c r="H95" s="4">
        <v>22038.29</v>
      </c>
    </row>
    <row r="96" spans="1:8" ht="16" x14ac:dyDescent="0.2">
      <c r="A96" s="5" t="s">
        <v>36</v>
      </c>
      <c r="B96" s="5" t="s">
        <v>37</v>
      </c>
      <c r="C96" s="5" t="s">
        <v>19</v>
      </c>
      <c r="D96" s="6">
        <v>27527.32</v>
      </c>
      <c r="E96" s="6">
        <v>3991.49</v>
      </c>
      <c r="F96" s="6">
        <v>763.88</v>
      </c>
      <c r="G96" s="6">
        <v>0</v>
      </c>
      <c r="H96" s="6">
        <v>22771.95</v>
      </c>
    </row>
    <row r="97" spans="1:8" ht="16" x14ac:dyDescent="0.2">
      <c r="A97" s="3" t="s">
        <v>36</v>
      </c>
      <c r="B97" s="3" t="s">
        <v>37</v>
      </c>
      <c r="C97" s="3" t="s">
        <v>20</v>
      </c>
      <c r="D97" s="4">
        <v>26208.53</v>
      </c>
      <c r="E97" s="4">
        <v>3709.79</v>
      </c>
      <c r="F97" s="4">
        <v>727.29</v>
      </c>
      <c r="G97" s="4">
        <v>0</v>
      </c>
      <c r="H97" s="4">
        <v>21771.45</v>
      </c>
    </row>
    <row r="98" spans="1:8" ht="16" x14ac:dyDescent="0.2">
      <c r="A98" s="5" t="s">
        <v>36</v>
      </c>
      <c r="B98" s="5" t="s">
        <v>37</v>
      </c>
      <c r="C98" s="5" t="s">
        <v>21</v>
      </c>
      <c r="D98" s="6">
        <v>27160.77</v>
      </c>
      <c r="E98" s="6">
        <v>3913.19</v>
      </c>
      <c r="F98" s="6">
        <v>753.71</v>
      </c>
      <c r="G98" s="6">
        <v>0</v>
      </c>
      <c r="H98" s="6">
        <v>22493.87</v>
      </c>
    </row>
    <row r="99" spans="1:8" ht="16" x14ac:dyDescent="0.2">
      <c r="A99" s="3" t="s">
        <v>36</v>
      </c>
      <c r="B99" s="3" t="s">
        <v>37</v>
      </c>
      <c r="C99" s="3" t="s">
        <v>22</v>
      </c>
      <c r="D99" s="4">
        <v>27315.06</v>
      </c>
      <c r="E99" s="4">
        <v>3946.15</v>
      </c>
      <c r="F99" s="4">
        <v>757.99</v>
      </c>
      <c r="G99" s="4">
        <v>0</v>
      </c>
      <c r="H99" s="4">
        <v>22610.92</v>
      </c>
    </row>
    <row r="100" spans="1:8" ht="16" x14ac:dyDescent="0.2">
      <c r="A100" s="5" t="s">
        <v>36</v>
      </c>
      <c r="B100" s="5" t="s">
        <v>37</v>
      </c>
      <c r="C100" s="5" t="s">
        <v>23</v>
      </c>
      <c r="D100" s="6">
        <v>26880.14</v>
      </c>
      <c r="E100" s="6">
        <v>3853.25</v>
      </c>
      <c r="F100" s="6">
        <v>745.92</v>
      </c>
      <c r="G100" s="6">
        <v>0</v>
      </c>
      <c r="H100" s="6">
        <v>22280.97</v>
      </c>
    </row>
    <row r="101" spans="1:8" ht="16" x14ac:dyDescent="0.2">
      <c r="A101" s="3" t="s">
        <v>38</v>
      </c>
      <c r="B101" s="3" t="s">
        <v>39</v>
      </c>
      <c r="C101" s="3" t="s">
        <v>12</v>
      </c>
      <c r="D101" s="4">
        <v>18677.689999999999</v>
      </c>
      <c r="E101" s="4">
        <v>2101.21</v>
      </c>
      <c r="F101" s="4">
        <v>518.30999999999995</v>
      </c>
      <c r="G101" s="4">
        <v>0</v>
      </c>
      <c r="H101" s="4">
        <v>16058.17</v>
      </c>
    </row>
    <row r="102" spans="1:8" ht="16" x14ac:dyDescent="0.2">
      <c r="A102" s="5" t="s">
        <v>38</v>
      </c>
      <c r="B102" s="5" t="s">
        <v>39</v>
      </c>
      <c r="C102" s="5" t="s">
        <v>13</v>
      </c>
      <c r="D102" s="6">
        <v>18679.87</v>
      </c>
      <c r="E102" s="6">
        <v>2101.67</v>
      </c>
      <c r="F102" s="6">
        <v>518.37</v>
      </c>
      <c r="G102" s="6">
        <v>0</v>
      </c>
      <c r="H102" s="6">
        <v>16059.83</v>
      </c>
    </row>
    <row r="103" spans="1:8" ht="16" x14ac:dyDescent="0.2">
      <c r="A103" s="3" t="s">
        <v>38</v>
      </c>
      <c r="B103" s="3" t="s">
        <v>39</v>
      </c>
      <c r="C103" s="3" t="s">
        <v>14</v>
      </c>
      <c r="D103" s="4">
        <v>18543.78</v>
      </c>
      <c r="E103" s="4">
        <v>2072.6</v>
      </c>
      <c r="F103" s="4">
        <v>514.59</v>
      </c>
      <c r="G103" s="4">
        <v>0</v>
      </c>
      <c r="H103" s="4">
        <v>15956.59</v>
      </c>
    </row>
    <row r="104" spans="1:8" ht="16" x14ac:dyDescent="0.2">
      <c r="A104" s="5" t="s">
        <v>38</v>
      </c>
      <c r="B104" s="5" t="s">
        <v>39</v>
      </c>
      <c r="C104" s="5" t="s">
        <v>15</v>
      </c>
      <c r="D104" s="6">
        <v>18147.7</v>
      </c>
      <c r="E104" s="6">
        <v>1988</v>
      </c>
      <c r="F104" s="6">
        <v>503.6</v>
      </c>
      <c r="G104" s="6">
        <v>0</v>
      </c>
      <c r="H104" s="6">
        <v>15656.1</v>
      </c>
    </row>
    <row r="105" spans="1:8" ht="16" x14ac:dyDescent="0.2">
      <c r="A105" s="3" t="s">
        <v>38</v>
      </c>
      <c r="B105" s="3" t="s">
        <v>39</v>
      </c>
      <c r="C105" s="3" t="s">
        <v>16</v>
      </c>
      <c r="D105" s="4">
        <v>17695.419999999998</v>
      </c>
      <c r="E105" s="4">
        <v>1891.39</v>
      </c>
      <c r="F105" s="4">
        <v>491.05</v>
      </c>
      <c r="G105" s="4">
        <v>0</v>
      </c>
      <c r="H105" s="4">
        <v>15312.98</v>
      </c>
    </row>
    <row r="106" spans="1:8" ht="16" x14ac:dyDescent="0.2">
      <c r="A106" s="5" t="s">
        <v>38</v>
      </c>
      <c r="B106" s="5" t="s">
        <v>39</v>
      </c>
      <c r="C106" s="5" t="s">
        <v>17</v>
      </c>
      <c r="D106" s="6">
        <v>17915.84</v>
      </c>
      <c r="E106" s="6">
        <v>1938.48</v>
      </c>
      <c r="F106" s="6">
        <v>497.16</v>
      </c>
      <c r="G106" s="6">
        <v>0</v>
      </c>
      <c r="H106" s="6">
        <v>15480.2</v>
      </c>
    </row>
    <row r="107" spans="1:8" ht="16" x14ac:dyDescent="0.2">
      <c r="A107" s="3" t="s">
        <v>38</v>
      </c>
      <c r="B107" s="3" t="s">
        <v>39</v>
      </c>
      <c r="C107" s="3" t="s">
        <v>18</v>
      </c>
      <c r="D107" s="4">
        <v>18168.72</v>
      </c>
      <c r="E107" s="4">
        <v>1992.49</v>
      </c>
      <c r="F107" s="4">
        <v>504.18</v>
      </c>
      <c r="G107" s="4">
        <v>0</v>
      </c>
      <c r="H107" s="4">
        <v>15672.05</v>
      </c>
    </row>
    <row r="108" spans="1:8" ht="16" x14ac:dyDescent="0.2">
      <c r="A108" s="5" t="s">
        <v>38</v>
      </c>
      <c r="B108" s="5" t="s">
        <v>39</v>
      </c>
      <c r="C108" s="5" t="s">
        <v>19</v>
      </c>
      <c r="D108" s="6">
        <v>17730.71</v>
      </c>
      <c r="E108" s="6">
        <v>1898.93</v>
      </c>
      <c r="F108" s="6">
        <v>492.03</v>
      </c>
      <c r="G108" s="6">
        <v>0</v>
      </c>
      <c r="H108" s="6">
        <v>15339.75</v>
      </c>
    </row>
    <row r="109" spans="1:8" ht="16" x14ac:dyDescent="0.2">
      <c r="A109" s="3" t="s">
        <v>38</v>
      </c>
      <c r="B109" s="3" t="s">
        <v>39</v>
      </c>
      <c r="C109" s="3" t="s">
        <v>20</v>
      </c>
      <c r="D109" s="4">
        <v>18440.330000000002</v>
      </c>
      <c r="E109" s="4">
        <v>2050.5100000000002</v>
      </c>
      <c r="F109" s="4">
        <v>511.72</v>
      </c>
      <c r="G109" s="4">
        <v>0</v>
      </c>
      <c r="H109" s="4">
        <v>15878.1</v>
      </c>
    </row>
    <row r="110" spans="1:8" ht="16" x14ac:dyDescent="0.2">
      <c r="A110" s="5" t="s">
        <v>38</v>
      </c>
      <c r="B110" s="5" t="s">
        <v>39</v>
      </c>
      <c r="C110" s="5" t="s">
        <v>21</v>
      </c>
      <c r="D110" s="6">
        <v>18073.75</v>
      </c>
      <c r="E110" s="6">
        <v>1972.21</v>
      </c>
      <c r="F110" s="6">
        <v>501.55</v>
      </c>
      <c r="G110" s="6">
        <v>0</v>
      </c>
      <c r="H110" s="6">
        <v>15599.99</v>
      </c>
    </row>
    <row r="111" spans="1:8" ht="16" x14ac:dyDescent="0.2">
      <c r="A111" s="3" t="s">
        <v>38</v>
      </c>
      <c r="B111" s="3" t="s">
        <v>39</v>
      </c>
      <c r="C111" s="3" t="s">
        <v>22</v>
      </c>
      <c r="D111" s="4">
        <v>18115.27</v>
      </c>
      <c r="E111" s="4">
        <v>1981.07</v>
      </c>
      <c r="F111" s="4">
        <v>502.7</v>
      </c>
      <c r="G111" s="4">
        <v>0</v>
      </c>
      <c r="H111" s="4">
        <v>15631.5</v>
      </c>
    </row>
    <row r="112" spans="1:8" ht="16" x14ac:dyDescent="0.2">
      <c r="A112" s="5" t="s">
        <v>38</v>
      </c>
      <c r="B112" s="5" t="s">
        <v>39</v>
      </c>
      <c r="C112" s="5" t="s">
        <v>23</v>
      </c>
      <c r="D112" s="6">
        <v>17640.63</v>
      </c>
      <c r="E112" s="6">
        <v>1879.69</v>
      </c>
      <c r="F112" s="6">
        <v>489.53</v>
      </c>
      <c r="G112" s="6">
        <v>0</v>
      </c>
      <c r="H112" s="6">
        <v>15271.41</v>
      </c>
    </row>
    <row r="113" spans="1:8" ht="16" x14ac:dyDescent="0.2">
      <c r="A113" s="3" t="s">
        <v>40</v>
      </c>
      <c r="B113" s="3" t="s">
        <v>41</v>
      </c>
      <c r="C113" s="3" t="s">
        <v>12</v>
      </c>
      <c r="D113" s="4">
        <v>35171.49</v>
      </c>
      <c r="E113" s="4">
        <v>5624.28</v>
      </c>
      <c r="F113" s="4">
        <v>976.01</v>
      </c>
      <c r="G113" s="4">
        <v>0</v>
      </c>
      <c r="H113" s="4">
        <v>28571.200000000001</v>
      </c>
    </row>
    <row r="114" spans="1:8" ht="16" x14ac:dyDescent="0.2">
      <c r="A114" s="5" t="s">
        <v>40</v>
      </c>
      <c r="B114" s="5" t="s">
        <v>41</v>
      </c>
      <c r="C114" s="5" t="s">
        <v>13</v>
      </c>
      <c r="D114" s="6">
        <v>35909.769999999997</v>
      </c>
      <c r="E114" s="6">
        <v>5793.8</v>
      </c>
      <c r="F114" s="6">
        <v>996.5</v>
      </c>
      <c r="G114" s="6">
        <v>0</v>
      </c>
      <c r="H114" s="6">
        <v>29119.47</v>
      </c>
    </row>
    <row r="115" spans="1:8" ht="16" x14ac:dyDescent="0.2">
      <c r="A115" s="3" t="s">
        <v>40</v>
      </c>
      <c r="B115" s="3" t="s">
        <v>41</v>
      </c>
      <c r="C115" s="3" t="s">
        <v>14</v>
      </c>
      <c r="D115" s="4">
        <v>34126.519999999997</v>
      </c>
      <c r="E115" s="4">
        <v>5401.08</v>
      </c>
      <c r="F115" s="4">
        <v>947.01</v>
      </c>
      <c r="G115" s="4">
        <v>0</v>
      </c>
      <c r="H115" s="4">
        <v>27778.43</v>
      </c>
    </row>
    <row r="116" spans="1:8" ht="16" x14ac:dyDescent="0.2">
      <c r="A116" s="5" t="s">
        <v>40</v>
      </c>
      <c r="B116" s="5" t="s">
        <v>41</v>
      </c>
      <c r="C116" s="5" t="s">
        <v>15</v>
      </c>
      <c r="D116" s="6">
        <v>35619.1</v>
      </c>
      <c r="E116" s="6">
        <v>5725.43</v>
      </c>
      <c r="F116" s="6">
        <v>988.43</v>
      </c>
      <c r="G116" s="6">
        <v>0</v>
      </c>
      <c r="H116" s="6">
        <v>28905.24</v>
      </c>
    </row>
    <row r="117" spans="1:8" ht="16" x14ac:dyDescent="0.2">
      <c r="A117" s="3" t="s">
        <v>40</v>
      </c>
      <c r="B117" s="3" t="s">
        <v>41</v>
      </c>
      <c r="C117" s="3" t="s">
        <v>16</v>
      </c>
      <c r="D117" s="4">
        <v>34472.57</v>
      </c>
      <c r="E117" s="4">
        <v>5474.99</v>
      </c>
      <c r="F117" s="4">
        <v>956.61</v>
      </c>
      <c r="G117" s="4">
        <v>0</v>
      </c>
      <c r="H117" s="4">
        <v>28040.97</v>
      </c>
    </row>
    <row r="118" spans="1:8" ht="16" x14ac:dyDescent="0.2">
      <c r="A118" s="5" t="s">
        <v>40</v>
      </c>
      <c r="B118" s="5" t="s">
        <v>41</v>
      </c>
      <c r="C118" s="5" t="s">
        <v>17</v>
      </c>
      <c r="D118" s="6">
        <v>35256.410000000003</v>
      </c>
      <c r="E118" s="6">
        <v>5642.42</v>
      </c>
      <c r="F118" s="6">
        <v>978.37</v>
      </c>
      <c r="G118" s="6">
        <v>0</v>
      </c>
      <c r="H118" s="6">
        <v>28635.62</v>
      </c>
    </row>
    <row r="119" spans="1:8" ht="16" x14ac:dyDescent="0.2">
      <c r="A119" s="3" t="s">
        <v>40</v>
      </c>
      <c r="B119" s="3" t="s">
        <v>41</v>
      </c>
      <c r="C119" s="3" t="s">
        <v>18</v>
      </c>
      <c r="D119" s="4">
        <v>35531.07</v>
      </c>
      <c r="E119" s="4">
        <v>5704.73</v>
      </c>
      <c r="F119" s="4">
        <v>985.99</v>
      </c>
      <c r="G119" s="4">
        <v>0</v>
      </c>
      <c r="H119" s="4">
        <v>28840.35</v>
      </c>
    </row>
    <row r="120" spans="1:8" ht="16" x14ac:dyDescent="0.2">
      <c r="A120" s="5" t="s">
        <v>40</v>
      </c>
      <c r="B120" s="5" t="s">
        <v>41</v>
      </c>
      <c r="C120" s="5" t="s">
        <v>19</v>
      </c>
      <c r="D120" s="6">
        <v>35960.57</v>
      </c>
      <c r="E120" s="6">
        <v>5805.75</v>
      </c>
      <c r="F120" s="6">
        <v>997.91</v>
      </c>
      <c r="G120" s="6">
        <v>0</v>
      </c>
      <c r="H120" s="6">
        <v>29156.91</v>
      </c>
    </row>
    <row r="121" spans="1:8" ht="16" x14ac:dyDescent="0.2">
      <c r="A121" s="3" t="s">
        <v>40</v>
      </c>
      <c r="B121" s="3" t="s">
        <v>41</v>
      </c>
      <c r="C121" s="3" t="s">
        <v>20</v>
      </c>
      <c r="D121" s="4">
        <v>35355.96</v>
      </c>
      <c r="E121" s="4">
        <v>5663.69</v>
      </c>
      <c r="F121" s="4">
        <v>981.13</v>
      </c>
      <c r="G121" s="4">
        <v>0</v>
      </c>
      <c r="H121" s="4">
        <v>28711.14</v>
      </c>
    </row>
    <row r="122" spans="1:8" ht="16" x14ac:dyDescent="0.2">
      <c r="A122" s="5" t="s">
        <v>40</v>
      </c>
      <c r="B122" s="5" t="s">
        <v>41</v>
      </c>
      <c r="C122" s="5" t="s">
        <v>21</v>
      </c>
      <c r="D122" s="6">
        <v>35286.519999999997</v>
      </c>
      <c r="E122" s="6">
        <v>5648.85</v>
      </c>
      <c r="F122" s="6">
        <v>979.2</v>
      </c>
      <c r="G122" s="6">
        <v>0</v>
      </c>
      <c r="H122" s="6">
        <v>28658.47</v>
      </c>
    </row>
    <row r="123" spans="1:8" ht="16" x14ac:dyDescent="0.2">
      <c r="A123" s="3" t="s">
        <v>40</v>
      </c>
      <c r="B123" s="3" t="s">
        <v>41</v>
      </c>
      <c r="C123" s="3" t="s">
        <v>22</v>
      </c>
      <c r="D123" s="4">
        <v>34277.089999999997</v>
      </c>
      <c r="E123" s="4">
        <v>5433.24</v>
      </c>
      <c r="F123" s="4">
        <v>951.19</v>
      </c>
      <c r="G123" s="4">
        <v>0</v>
      </c>
      <c r="H123" s="4">
        <v>27892.66</v>
      </c>
    </row>
    <row r="124" spans="1:8" ht="16" x14ac:dyDescent="0.2">
      <c r="A124" s="5" t="s">
        <v>40</v>
      </c>
      <c r="B124" s="5" t="s">
        <v>41</v>
      </c>
      <c r="C124" s="5" t="s">
        <v>23</v>
      </c>
      <c r="D124" s="6">
        <v>34610.35</v>
      </c>
      <c r="E124" s="6">
        <v>5504.42</v>
      </c>
      <c r="F124" s="6">
        <v>960.44</v>
      </c>
      <c r="G124" s="6">
        <v>0</v>
      </c>
      <c r="H124" s="6">
        <v>28145.49</v>
      </c>
    </row>
    <row r="125" spans="1:8" ht="16" x14ac:dyDescent="0.2">
      <c r="A125" s="3" t="s">
        <v>42</v>
      </c>
      <c r="B125" s="3" t="s">
        <v>43</v>
      </c>
      <c r="C125" s="3" t="s">
        <v>12</v>
      </c>
      <c r="D125" s="4">
        <v>11727.36</v>
      </c>
      <c r="E125" s="4">
        <v>916.95</v>
      </c>
      <c r="F125" s="4">
        <v>325.43</v>
      </c>
      <c r="G125" s="4">
        <v>0</v>
      </c>
      <c r="H125" s="4">
        <v>10484.98</v>
      </c>
    </row>
    <row r="126" spans="1:8" ht="16" x14ac:dyDescent="0.2">
      <c r="A126" s="5" t="s">
        <v>42</v>
      </c>
      <c r="B126" s="5" t="s">
        <v>43</v>
      </c>
      <c r="C126" s="5" t="s">
        <v>13</v>
      </c>
      <c r="D126" s="6">
        <v>11852.29</v>
      </c>
      <c r="E126" s="6">
        <v>930.54</v>
      </c>
      <c r="F126" s="6">
        <v>328.9</v>
      </c>
      <c r="G126" s="6">
        <v>0</v>
      </c>
      <c r="H126" s="6">
        <v>10592.85</v>
      </c>
    </row>
    <row r="127" spans="1:8" ht="16" x14ac:dyDescent="0.2">
      <c r="A127" s="3" t="s">
        <v>42</v>
      </c>
      <c r="B127" s="3" t="s">
        <v>43</v>
      </c>
      <c r="C127" s="3" t="s">
        <v>14</v>
      </c>
      <c r="D127" s="4">
        <v>11535.18</v>
      </c>
      <c r="E127" s="4">
        <v>896.04</v>
      </c>
      <c r="F127" s="4">
        <v>320.10000000000002</v>
      </c>
      <c r="G127" s="4">
        <v>0</v>
      </c>
      <c r="H127" s="4">
        <v>10319.040000000001</v>
      </c>
    </row>
    <row r="128" spans="1:8" ht="16" x14ac:dyDescent="0.2">
      <c r="A128" s="5" t="s">
        <v>42</v>
      </c>
      <c r="B128" s="5" t="s">
        <v>43</v>
      </c>
      <c r="C128" s="5" t="s">
        <v>15</v>
      </c>
      <c r="D128" s="6">
        <v>11693.39</v>
      </c>
      <c r="E128" s="6">
        <v>913.26</v>
      </c>
      <c r="F128" s="6">
        <v>324.49</v>
      </c>
      <c r="G128" s="6">
        <v>0</v>
      </c>
      <c r="H128" s="6">
        <v>10455.64</v>
      </c>
    </row>
    <row r="129" spans="1:8" ht="16" x14ac:dyDescent="0.2">
      <c r="A129" s="3" t="s">
        <v>42</v>
      </c>
      <c r="B129" s="3" t="s">
        <v>43</v>
      </c>
      <c r="C129" s="3" t="s">
        <v>16</v>
      </c>
      <c r="D129" s="4">
        <v>11287.89</v>
      </c>
      <c r="E129" s="4">
        <v>869.14</v>
      </c>
      <c r="F129" s="4">
        <v>313.24</v>
      </c>
      <c r="G129" s="4">
        <v>0</v>
      </c>
      <c r="H129" s="4">
        <v>10105.51</v>
      </c>
    </row>
    <row r="130" spans="1:8" ht="16" x14ac:dyDescent="0.2">
      <c r="A130" s="5" t="s">
        <v>42</v>
      </c>
      <c r="B130" s="5" t="s">
        <v>43</v>
      </c>
      <c r="C130" s="5" t="s">
        <v>17</v>
      </c>
      <c r="D130" s="6">
        <v>11348.87</v>
      </c>
      <c r="E130" s="6">
        <v>875.77</v>
      </c>
      <c r="F130" s="6">
        <v>314.93</v>
      </c>
      <c r="G130" s="6">
        <v>0</v>
      </c>
      <c r="H130" s="6">
        <v>10158.17</v>
      </c>
    </row>
    <row r="131" spans="1:8" ht="16" x14ac:dyDescent="0.2">
      <c r="A131" s="3" t="s">
        <v>42</v>
      </c>
      <c r="B131" s="3" t="s">
        <v>43</v>
      </c>
      <c r="C131" s="3" t="s">
        <v>18</v>
      </c>
      <c r="D131" s="4">
        <v>11601.62</v>
      </c>
      <c r="E131" s="4">
        <v>903.27</v>
      </c>
      <c r="F131" s="4">
        <v>321.94</v>
      </c>
      <c r="G131" s="4">
        <v>0</v>
      </c>
      <c r="H131" s="4">
        <v>10376.41</v>
      </c>
    </row>
    <row r="132" spans="1:8" ht="16" x14ac:dyDescent="0.2">
      <c r="A132" s="5" t="s">
        <v>42</v>
      </c>
      <c r="B132" s="5" t="s">
        <v>43</v>
      </c>
      <c r="C132" s="5" t="s">
        <v>19</v>
      </c>
      <c r="D132" s="6">
        <v>11858.06</v>
      </c>
      <c r="E132" s="6">
        <v>931.17</v>
      </c>
      <c r="F132" s="6">
        <v>329.06</v>
      </c>
      <c r="G132" s="6">
        <v>0</v>
      </c>
      <c r="H132" s="6">
        <v>10597.83</v>
      </c>
    </row>
    <row r="133" spans="1:8" ht="16" x14ac:dyDescent="0.2">
      <c r="A133" s="3" t="s">
        <v>42</v>
      </c>
      <c r="B133" s="3" t="s">
        <v>43</v>
      </c>
      <c r="C133" s="3" t="s">
        <v>20</v>
      </c>
      <c r="D133" s="4">
        <v>11801.08</v>
      </c>
      <c r="E133" s="4">
        <v>924.97</v>
      </c>
      <c r="F133" s="4">
        <v>327.48</v>
      </c>
      <c r="G133" s="4">
        <v>0</v>
      </c>
      <c r="H133" s="4">
        <v>10548.63</v>
      </c>
    </row>
    <row r="134" spans="1:8" ht="16" x14ac:dyDescent="0.2">
      <c r="A134" s="5" t="s">
        <v>42</v>
      </c>
      <c r="B134" s="5" t="s">
        <v>43</v>
      </c>
      <c r="C134" s="5" t="s">
        <v>21</v>
      </c>
      <c r="D134" s="6">
        <v>11544</v>
      </c>
      <c r="E134" s="6">
        <v>897</v>
      </c>
      <c r="F134" s="6">
        <v>320.35000000000002</v>
      </c>
      <c r="G134" s="6">
        <v>0</v>
      </c>
      <c r="H134" s="6">
        <v>10326.65</v>
      </c>
    </row>
    <row r="135" spans="1:8" ht="16" x14ac:dyDescent="0.2">
      <c r="A135" s="3" t="s">
        <v>42</v>
      </c>
      <c r="B135" s="3" t="s">
        <v>43</v>
      </c>
      <c r="C135" s="3" t="s">
        <v>22</v>
      </c>
      <c r="D135" s="4">
        <v>11252.97</v>
      </c>
      <c r="E135" s="4">
        <v>865.34</v>
      </c>
      <c r="F135" s="4">
        <v>312.27</v>
      </c>
      <c r="G135" s="4">
        <v>0</v>
      </c>
      <c r="H135" s="4">
        <v>10075.36</v>
      </c>
    </row>
    <row r="136" spans="1:8" ht="16" x14ac:dyDescent="0.2">
      <c r="A136" s="5" t="s">
        <v>42</v>
      </c>
      <c r="B136" s="5" t="s">
        <v>43</v>
      </c>
      <c r="C136" s="5" t="s">
        <v>23</v>
      </c>
      <c r="D136" s="6">
        <v>11657.44</v>
      </c>
      <c r="E136" s="6">
        <v>909.34</v>
      </c>
      <c r="F136" s="6">
        <v>323.49</v>
      </c>
      <c r="G136" s="6">
        <v>0</v>
      </c>
      <c r="H136" s="6">
        <v>10424.61</v>
      </c>
    </row>
    <row r="137" spans="1:8" ht="16" x14ac:dyDescent="0.2">
      <c r="A137" s="3" t="s">
        <v>44</v>
      </c>
      <c r="B137" s="3" t="s">
        <v>45</v>
      </c>
      <c r="C137" s="3" t="s">
        <v>12</v>
      </c>
      <c r="D137" s="4">
        <v>34934.74</v>
      </c>
      <c r="E137" s="4">
        <v>5573.71</v>
      </c>
      <c r="F137" s="4">
        <v>969.44</v>
      </c>
      <c r="G137" s="4">
        <v>0</v>
      </c>
      <c r="H137" s="4">
        <v>28391.59</v>
      </c>
    </row>
    <row r="138" spans="1:8" ht="16" x14ac:dyDescent="0.2">
      <c r="A138" s="5" t="s">
        <v>44</v>
      </c>
      <c r="B138" s="5" t="s">
        <v>45</v>
      </c>
      <c r="C138" s="5" t="s">
        <v>13</v>
      </c>
      <c r="D138" s="6">
        <v>35205.919999999998</v>
      </c>
      <c r="E138" s="6">
        <v>5631.64</v>
      </c>
      <c r="F138" s="6">
        <v>976.96</v>
      </c>
      <c r="G138" s="6">
        <v>0</v>
      </c>
      <c r="H138" s="6">
        <v>28597.32</v>
      </c>
    </row>
    <row r="139" spans="1:8" ht="16" x14ac:dyDescent="0.2">
      <c r="A139" s="3" t="s">
        <v>44</v>
      </c>
      <c r="B139" s="3" t="s">
        <v>45</v>
      </c>
      <c r="C139" s="3" t="s">
        <v>14</v>
      </c>
      <c r="D139" s="4">
        <v>33950.730000000003</v>
      </c>
      <c r="E139" s="4">
        <v>5363.53</v>
      </c>
      <c r="F139" s="4">
        <v>942.13</v>
      </c>
      <c r="G139" s="4">
        <v>0</v>
      </c>
      <c r="H139" s="4">
        <v>27645.07</v>
      </c>
    </row>
    <row r="140" spans="1:8" ht="16" x14ac:dyDescent="0.2">
      <c r="A140" s="5" t="s">
        <v>44</v>
      </c>
      <c r="B140" s="5" t="s">
        <v>45</v>
      </c>
      <c r="C140" s="5" t="s">
        <v>15</v>
      </c>
      <c r="D140" s="6">
        <v>34169.269999999997</v>
      </c>
      <c r="E140" s="6">
        <v>5410.21</v>
      </c>
      <c r="F140" s="6">
        <v>948.2</v>
      </c>
      <c r="G140" s="6">
        <v>0</v>
      </c>
      <c r="H140" s="6">
        <v>27810.86</v>
      </c>
    </row>
    <row r="141" spans="1:8" ht="16" x14ac:dyDescent="0.2">
      <c r="A141" s="3" t="s">
        <v>44</v>
      </c>
      <c r="B141" s="3" t="s">
        <v>45</v>
      </c>
      <c r="C141" s="3" t="s">
        <v>16</v>
      </c>
      <c r="D141" s="4">
        <v>34985.35</v>
      </c>
      <c r="E141" s="4">
        <v>5584.52</v>
      </c>
      <c r="F141" s="4">
        <v>970.84</v>
      </c>
      <c r="G141" s="4">
        <v>0</v>
      </c>
      <c r="H141" s="4">
        <v>28429.99</v>
      </c>
    </row>
    <row r="142" spans="1:8" ht="16" x14ac:dyDescent="0.2">
      <c r="A142" s="5" t="s">
        <v>44</v>
      </c>
      <c r="B142" s="5" t="s">
        <v>45</v>
      </c>
      <c r="C142" s="5" t="s">
        <v>17</v>
      </c>
      <c r="D142" s="6">
        <v>34391.839999999997</v>
      </c>
      <c r="E142" s="6">
        <v>5457.75</v>
      </c>
      <c r="F142" s="6">
        <v>954.37</v>
      </c>
      <c r="G142" s="6">
        <v>0</v>
      </c>
      <c r="H142" s="6">
        <v>27979.72</v>
      </c>
    </row>
    <row r="143" spans="1:8" ht="16" x14ac:dyDescent="0.2">
      <c r="A143" s="3" t="s">
        <v>44</v>
      </c>
      <c r="B143" s="3" t="s">
        <v>45</v>
      </c>
      <c r="C143" s="3" t="s">
        <v>18</v>
      </c>
      <c r="D143" s="4">
        <v>33725.440000000002</v>
      </c>
      <c r="E143" s="4">
        <v>5315.41</v>
      </c>
      <c r="F143" s="4">
        <v>935.88</v>
      </c>
      <c r="G143" s="4">
        <v>0</v>
      </c>
      <c r="H143" s="4">
        <v>27474.15</v>
      </c>
    </row>
    <row r="144" spans="1:8" ht="16" x14ac:dyDescent="0.2">
      <c r="A144" s="5" t="s">
        <v>44</v>
      </c>
      <c r="B144" s="5" t="s">
        <v>45</v>
      </c>
      <c r="C144" s="5" t="s">
        <v>19</v>
      </c>
      <c r="D144" s="6">
        <v>33349.17</v>
      </c>
      <c r="E144" s="6">
        <v>5235.04</v>
      </c>
      <c r="F144" s="6">
        <v>925.44</v>
      </c>
      <c r="G144" s="6">
        <v>0</v>
      </c>
      <c r="H144" s="6">
        <v>27188.69</v>
      </c>
    </row>
    <row r="145" spans="1:8" ht="16" x14ac:dyDescent="0.2">
      <c r="A145" s="3" t="s">
        <v>44</v>
      </c>
      <c r="B145" s="3" t="s">
        <v>45</v>
      </c>
      <c r="C145" s="3" t="s">
        <v>20</v>
      </c>
      <c r="D145" s="4">
        <v>33538.79</v>
      </c>
      <c r="E145" s="4">
        <v>5275.54</v>
      </c>
      <c r="F145" s="4">
        <v>930.7</v>
      </c>
      <c r="G145" s="4">
        <v>0</v>
      </c>
      <c r="H145" s="4">
        <v>27332.55</v>
      </c>
    </row>
    <row r="146" spans="1:8" ht="16" x14ac:dyDescent="0.2">
      <c r="A146" s="5" t="s">
        <v>44</v>
      </c>
      <c r="B146" s="5" t="s">
        <v>45</v>
      </c>
      <c r="C146" s="5" t="s">
        <v>21</v>
      </c>
      <c r="D146" s="6">
        <v>35149.769999999997</v>
      </c>
      <c r="E146" s="6">
        <v>5619.64</v>
      </c>
      <c r="F146" s="6">
        <v>975.41</v>
      </c>
      <c r="G146" s="6">
        <v>0</v>
      </c>
      <c r="H146" s="6">
        <v>28554.720000000001</v>
      </c>
    </row>
    <row r="147" spans="1:8" ht="16" x14ac:dyDescent="0.2">
      <c r="A147" s="3" t="s">
        <v>44</v>
      </c>
      <c r="B147" s="3" t="s">
        <v>45</v>
      </c>
      <c r="C147" s="3" t="s">
        <v>22</v>
      </c>
      <c r="D147" s="4">
        <v>33425.93</v>
      </c>
      <c r="E147" s="4">
        <v>5251.43</v>
      </c>
      <c r="F147" s="4">
        <v>927.57</v>
      </c>
      <c r="G147" s="4">
        <v>0</v>
      </c>
      <c r="H147" s="4">
        <v>27246.93</v>
      </c>
    </row>
    <row r="148" spans="1:8" ht="16" x14ac:dyDescent="0.2">
      <c r="A148" s="5" t="s">
        <v>44</v>
      </c>
      <c r="B148" s="5" t="s">
        <v>45</v>
      </c>
      <c r="C148" s="5" t="s">
        <v>23</v>
      </c>
      <c r="D148" s="6">
        <v>34035.26</v>
      </c>
      <c r="E148" s="6">
        <v>5381.58</v>
      </c>
      <c r="F148" s="6">
        <v>944.48</v>
      </c>
      <c r="G148" s="6">
        <v>0</v>
      </c>
      <c r="H148" s="6">
        <v>27709.200000000001</v>
      </c>
    </row>
    <row r="149" spans="1:8" ht="16" x14ac:dyDescent="0.2">
      <c r="A149" s="3" t="s">
        <v>46</v>
      </c>
      <c r="B149" s="3" t="s">
        <v>47</v>
      </c>
      <c r="C149" s="3" t="s">
        <v>12</v>
      </c>
      <c r="D149" s="4">
        <v>20147.87</v>
      </c>
      <c r="E149" s="4">
        <v>2415.2399999999998</v>
      </c>
      <c r="F149" s="4">
        <v>559.1</v>
      </c>
      <c r="G149" s="4">
        <v>0</v>
      </c>
      <c r="H149" s="4">
        <v>17173.53</v>
      </c>
    </row>
    <row r="150" spans="1:8" ht="16" x14ac:dyDescent="0.2">
      <c r="A150" s="5" t="s">
        <v>46</v>
      </c>
      <c r="B150" s="5" t="s">
        <v>47</v>
      </c>
      <c r="C150" s="5" t="s">
        <v>13</v>
      </c>
      <c r="D150" s="6">
        <v>19263.080000000002</v>
      </c>
      <c r="E150" s="6">
        <v>2226.25</v>
      </c>
      <c r="F150" s="6">
        <v>534.54999999999995</v>
      </c>
      <c r="G150" s="6">
        <v>0</v>
      </c>
      <c r="H150" s="6">
        <v>16502.28</v>
      </c>
    </row>
    <row r="151" spans="1:8" ht="16" x14ac:dyDescent="0.2">
      <c r="A151" s="3" t="s">
        <v>46</v>
      </c>
      <c r="B151" s="3" t="s">
        <v>47</v>
      </c>
      <c r="C151" s="3" t="s">
        <v>14</v>
      </c>
      <c r="D151" s="4">
        <v>19839.580000000002</v>
      </c>
      <c r="E151" s="4">
        <v>2349.39</v>
      </c>
      <c r="F151" s="4">
        <v>550.54999999999995</v>
      </c>
      <c r="G151" s="4">
        <v>0</v>
      </c>
      <c r="H151" s="4">
        <v>16939.64</v>
      </c>
    </row>
    <row r="152" spans="1:8" ht="16" x14ac:dyDescent="0.2">
      <c r="A152" s="5" t="s">
        <v>46</v>
      </c>
      <c r="B152" s="5" t="s">
        <v>47</v>
      </c>
      <c r="C152" s="5" t="s">
        <v>15</v>
      </c>
      <c r="D152" s="6">
        <v>19622.32</v>
      </c>
      <c r="E152" s="6">
        <v>2302.98</v>
      </c>
      <c r="F152" s="6">
        <v>544.52</v>
      </c>
      <c r="G152" s="6">
        <v>0</v>
      </c>
      <c r="H152" s="6">
        <v>16774.82</v>
      </c>
    </row>
    <row r="153" spans="1:8" ht="16" x14ac:dyDescent="0.2">
      <c r="A153" s="3" t="s">
        <v>46</v>
      </c>
      <c r="B153" s="3" t="s">
        <v>47</v>
      </c>
      <c r="C153" s="3" t="s">
        <v>16</v>
      </c>
      <c r="D153" s="4">
        <v>19593.66</v>
      </c>
      <c r="E153" s="4">
        <v>2296.86</v>
      </c>
      <c r="F153" s="4">
        <v>543.72</v>
      </c>
      <c r="G153" s="4">
        <v>0</v>
      </c>
      <c r="H153" s="4">
        <v>16753.080000000002</v>
      </c>
    </row>
    <row r="154" spans="1:8" ht="16" x14ac:dyDescent="0.2">
      <c r="A154" s="5" t="s">
        <v>46</v>
      </c>
      <c r="B154" s="5" t="s">
        <v>47</v>
      </c>
      <c r="C154" s="5" t="s">
        <v>17</v>
      </c>
      <c r="D154" s="6">
        <v>19620.27</v>
      </c>
      <c r="E154" s="6">
        <v>2302.54</v>
      </c>
      <c r="F154" s="6">
        <v>544.46</v>
      </c>
      <c r="G154" s="6">
        <v>0</v>
      </c>
      <c r="H154" s="6">
        <v>16773.27</v>
      </c>
    </row>
    <row r="155" spans="1:8" ht="16" x14ac:dyDescent="0.2">
      <c r="A155" s="3" t="s">
        <v>46</v>
      </c>
      <c r="B155" s="3" t="s">
        <v>47</v>
      </c>
      <c r="C155" s="3" t="s">
        <v>18</v>
      </c>
      <c r="D155" s="4">
        <v>19376.79</v>
      </c>
      <c r="E155" s="4">
        <v>2250.5300000000002</v>
      </c>
      <c r="F155" s="4">
        <v>537.71</v>
      </c>
      <c r="G155" s="4">
        <v>0</v>
      </c>
      <c r="H155" s="4">
        <v>16588.55</v>
      </c>
    </row>
    <row r="156" spans="1:8" ht="16" x14ac:dyDescent="0.2">
      <c r="A156" s="5" t="s">
        <v>46</v>
      </c>
      <c r="B156" s="5" t="s">
        <v>47</v>
      </c>
      <c r="C156" s="5" t="s">
        <v>19</v>
      </c>
      <c r="D156" s="6">
        <v>20361.11</v>
      </c>
      <c r="E156" s="6">
        <v>2460.79</v>
      </c>
      <c r="F156" s="6">
        <v>565.02</v>
      </c>
      <c r="G156" s="6">
        <v>0</v>
      </c>
      <c r="H156" s="6">
        <v>17335.3</v>
      </c>
    </row>
    <row r="157" spans="1:8" ht="16" x14ac:dyDescent="0.2">
      <c r="A157" s="3" t="s">
        <v>46</v>
      </c>
      <c r="B157" s="3" t="s">
        <v>47</v>
      </c>
      <c r="C157" s="3" t="s">
        <v>20</v>
      </c>
      <c r="D157" s="4">
        <v>19912.419999999998</v>
      </c>
      <c r="E157" s="4">
        <v>2364.9499999999998</v>
      </c>
      <c r="F157" s="4">
        <v>552.57000000000005</v>
      </c>
      <c r="G157" s="4">
        <v>0</v>
      </c>
      <c r="H157" s="4">
        <v>16994.900000000001</v>
      </c>
    </row>
    <row r="158" spans="1:8" ht="16" x14ac:dyDescent="0.2">
      <c r="A158" s="5" t="s">
        <v>46</v>
      </c>
      <c r="B158" s="5" t="s">
        <v>47</v>
      </c>
      <c r="C158" s="5" t="s">
        <v>21</v>
      </c>
      <c r="D158" s="6">
        <v>20189.990000000002</v>
      </c>
      <c r="E158" s="6">
        <v>2424.23</v>
      </c>
      <c r="F158" s="6">
        <v>560.27</v>
      </c>
      <c r="G158" s="6">
        <v>0</v>
      </c>
      <c r="H158" s="6">
        <v>17205.490000000002</v>
      </c>
    </row>
    <row r="159" spans="1:8" ht="16" x14ac:dyDescent="0.2">
      <c r="A159" s="3" t="s">
        <v>46</v>
      </c>
      <c r="B159" s="3" t="s">
        <v>47</v>
      </c>
      <c r="C159" s="3" t="s">
        <v>22</v>
      </c>
      <c r="D159" s="4">
        <v>19415.48</v>
      </c>
      <c r="E159" s="4">
        <v>2258.8000000000002</v>
      </c>
      <c r="F159" s="4">
        <v>538.78</v>
      </c>
      <c r="G159" s="4">
        <v>0</v>
      </c>
      <c r="H159" s="4">
        <v>16617.900000000001</v>
      </c>
    </row>
    <row r="160" spans="1:8" ht="16" x14ac:dyDescent="0.2">
      <c r="A160" s="5" t="s">
        <v>46</v>
      </c>
      <c r="B160" s="5" t="s">
        <v>47</v>
      </c>
      <c r="C160" s="5" t="s">
        <v>23</v>
      </c>
      <c r="D160" s="6">
        <v>19850.55</v>
      </c>
      <c r="E160" s="6">
        <v>2351.73</v>
      </c>
      <c r="F160" s="6">
        <v>550.85</v>
      </c>
      <c r="G160" s="6">
        <v>0</v>
      </c>
      <c r="H160" s="6">
        <v>16947.97</v>
      </c>
    </row>
    <row r="161" spans="1:8" ht="16" x14ac:dyDescent="0.2">
      <c r="A161" s="3" t="s">
        <v>48</v>
      </c>
      <c r="B161" s="3" t="s">
        <v>49</v>
      </c>
      <c r="C161" s="3" t="s">
        <v>12</v>
      </c>
      <c r="D161" s="4">
        <v>32018.71</v>
      </c>
      <c r="E161" s="4">
        <v>4950.8500000000004</v>
      </c>
      <c r="F161" s="4">
        <v>888.52</v>
      </c>
      <c r="G161" s="4">
        <v>0</v>
      </c>
      <c r="H161" s="4">
        <v>26179.34</v>
      </c>
    </row>
    <row r="162" spans="1:8" ht="16" x14ac:dyDescent="0.2">
      <c r="A162" s="5" t="s">
        <v>48</v>
      </c>
      <c r="B162" s="5" t="s">
        <v>49</v>
      </c>
      <c r="C162" s="5" t="s">
        <v>13</v>
      </c>
      <c r="D162" s="6">
        <v>32526.639999999999</v>
      </c>
      <c r="E162" s="6">
        <v>5059.34</v>
      </c>
      <c r="F162" s="6">
        <v>902.61</v>
      </c>
      <c r="G162" s="6">
        <v>0</v>
      </c>
      <c r="H162" s="6">
        <v>26564.69</v>
      </c>
    </row>
    <row r="163" spans="1:8" ht="16" x14ac:dyDescent="0.2">
      <c r="A163" s="3" t="s">
        <v>48</v>
      </c>
      <c r="B163" s="3" t="s">
        <v>49</v>
      </c>
      <c r="C163" s="3" t="s">
        <v>14</v>
      </c>
      <c r="D163" s="4">
        <v>32682.400000000001</v>
      </c>
      <c r="E163" s="4">
        <v>5092.6099999999997</v>
      </c>
      <c r="F163" s="4">
        <v>906.94</v>
      </c>
      <c r="G163" s="4">
        <v>0</v>
      </c>
      <c r="H163" s="4">
        <v>26682.85</v>
      </c>
    </row>
    <row r="164" spans="1:8" ht="16" x14ac:dyDescent="0.2">
      <c r="A164" s="5" t="s">
        <v>48</v>
      </c>
      <c r="B164" s="5" t="s">
        <v>49</v>
      </c>
      <c r="C164" s="5" t="s">
        <v>15</v>
      </c>
      <c r="D164" s="6">
        <v>31500.86</v>
      </c>
      <c r="E164" s="6">
        <v>4840.24</v>
      </c>
      <c r="F164" s="6">
        <v>874.15</v>
      </c>
      <c r="G164" s="6">
        <v>0</v>
      </c>
      <c r="H164" s="6">
        <v>25786.47</v>
      </c>
    </row>
    <row r="165" spans="1:8" ht="16" x14ac:dyDescent="0.2">
      <c r="A165" s="3" t="s">
        <v>48</v>
      </c>
      <c r="B165" s="3" t="s">
        <v>49</v>
      </c>
      <c r="C165" s="3" t="s">
        <v>16</v>
      </c>
      <c r="D165" s="4">
        <v>32140.43</v>
      </c>
      <c r="E165" s="4">
        <v>4976.8500000000004</v>
      </c>
      <c r="F165" s="4">
        <v>891.9</v>
      </c>
      <c r="G165" s="4">
        <v>0</v>
      </c>
      <c r="H165" s="4">
        <v>26271.68</v>
      </c>
    </row>
    <row r="166" spans="1:8" ht="16" x14ac:dyDescent="0.2">
      <c r="A166" s="5" t="s">
        <v>48</v>
      </c>
      <c r="B166" s="5" t="s">
        <v>49</v>
      </c>
      <c r="C166" s="5" t="s">
        <v>17</v>
      </c>
      <c r="D166" s="6">
        <v>31745.29</v>
      </c>
      <c r="E166" s="6">
        <v>4892.45</v>
      </c>
      <c r="F166" s="6">
        <v>880.93</v>
      </c>
      <c r="G166" s="6">
        <v>0</v>
      </c>
      <c r="H166" s="6">
        <v>25971.91</v>
      </c>
    </row>
    <row r="167" spans="1:8" ht="16" x14ac:dyDescent="0.2">
      <c r="A167" s="3" t="s">
        <v>48</v>
      </c>
      <c r="B167" s="3" t="s">
        <v>49</v>
      </c>
      <c r="C167" s="3" t="s">
        <v>18</v>
      </c>
      <c r="D167" s="4">
        <v>33153.769999999997</v>
      </c>
      <c r="E167" s="4">
        <v>5193.3</v>
      </c>
      <c r="F167" s="4">
        <v>920.02</v>
      </c>
      <c r="G167" s="4">
        <v>0</v>
      </c>
      <c r="H167" s="4">
        <v>27040.45</v>
      </c>
    </row>
    <row r="168" spans="1:8" ht="16" x14ac:dyDescent="0.2">
      <c r="A168" s="5" t="s">
        <v>48</v>
      </c>
      <c r="B168" s="5" t="s">
        <v>49</v>
      </c>
      <c r="C168" s="5" t="s">
        <v>19</v>
      </c>
      <c r="D168" s="6">
        <v>31453.759999999998</v>
      </c>
      <c r="E168" s="6">
        <v>4830.18</v>
      </c>
      <c r="F168" s="6">
        <v>872.84</v>
      </c>
      <c r="G168" s="6">
        <v>0</v>
      </c>
      <c r="H168" s="6">
        <v>25750.74</v>
      </c>
    </row>
    <row r="169" spans="1:8" ht="16" x14ac:dyDescent="0.2">
      <c r="A169" s="3" t="s">
        <v>48</v>
      </c>
      <c r="B169" s="3" t="s">
        <v>49</v>
      </c>
      <c r="C169" s="3" t="s">
        <v>20</v>
      </c>
      <c r="D169" s="4">
        <v>32422.93</v>
      </c>
      <c r="E169" s="4">
        <v>5037.1899999999996</v>
      </c>
      <c r="F169" s="4">
        <v>899.74</v>
      </c>
      <c r="G169" s="4">
        <v>0</v>
      </c>
      <c r="H169" s="4">
        <v>26486</v>
      </c>
    </row>
    <row r="170" spans="1:8" ht="16" x14ac:dyDescent="0.2">
      <c r="A170" s="5" t="s">
        <v>48</v>
      </c>
      <c r="B170" s="5" t="s">
        <v>49</v>
      </c>
      <c r="C170" s="5" t="s">
        <v>21</v>
      </c>
      <c r="D170" s="6">
        <v>32993.760000000002</v>
      </c>
      <c r="E170" s="6">
        <v>5159.12</v>
      </c>
      <c r="F170" s="6">
        <v>915.58</v>
      </c>
      <c r="G170" s="6">
        <v>0</v>
      </c>
      <c r="H170" s="6">
        <v>26919.06</v>
      </c>
    </row>
    <row r="171" spans="1:8" ht="16" x14ac:dyDescent="0.2">
      <c r="A171" s="3" t="s">
        <v>48</v>
      </c>
      <c r="B171" s="3" t="s">
        <v>49</v>
      </c>
      <c r="C171" s="3" t="s">
        <v>22</v>
      </c>
      <c r="D171" s="4">
        <v>32242.6</v>
      </c>
      <c r="E171" s="4">
        <v>4998.67</v>
      </c>
      <c r="F171" s="4">
        <v>894.73</v>
      </c>
      <c r="G171" s="4">
        <v>0</v>
      </c>
      <c r="H171" s="4">
        <v>26349.200000000001</v>
      </c>
    </row>
    <row r="172" spans="1:8" ht="16" x14ac:dyDescent="0.2">
      <c r="A172" s="5" t="s">
        <v>48</v>
      </c>
      <c r="B172" s="5" t="s">
        <v>49</v>
      </c>
      <c r="C172" s="5" t="s">
        <v>23</v>
      </c>
      <c r="D172" s="6">
        <v>32830.26</v>
      </c>
      <c r="E172" s="6">
        <v>5124.2</v>
      </c>
      <c r="F172" s="6">
        <v>911.04</v>
      </c>
      <c r="G172" s="6">
        <v>0</v>
      </c>
      <c r="H172" s="6">
        <v>26795.02</v>
      </c>
    </row>
    <row r="173" spans="1:8" ht="16" x14ac:dyDescent="0.2">
      <c r="A173" s="3" t="s">
        <v>50</v>
      </c>
      <c r="B173" s="3" t="s">
        <v>51</v>
      </c>
      <c r="C173" s="3" t="s">
        <v>12</v>
      </c>
      <c r="D173" s="4">
        <v>11396.56</v>
      </c>
      <c r="E173" s="4">
        <v>880.96</v>
      </c>
      <c r="F173" s="4">
        <v>316.25</v>
      </c>
      <c r="G173" s="4">
        <v>0</v>
      </c>
      <c r="H173" s="4">
        <v>10199.35</v>
      </c>
    </row>
    <row r="174" spans="1:8" ht="16" x14ac:dyDescent="0.2">
      <c r="A174" s="5" t="s">
        <v>50</v>
      </c>
      <c r="B174" s="5" t="s">
        <v>51</v>
      </c>
      <c r="C174" s="5" t="s">
        <v>13</v>
      </c>
      <c r="D174" s="6">
        <v>11509.24</v>
      </c>
      <c r="E174" s="6">
        <v>893.22</v>
      </c>
      <c r="F174" s="6">
        <v>319.38</v>
      </c>
      <c r="G174" s="6">
        <v>0</v>
      </c>
      <c r="H174" s="6">
        <v>10296.64</v>
      </c>
    </row>
    <row r="175" spans="1:8" ht="16" x14ac:dyDescent="0.2">
      <c r="A175" s="3" t="s">
        <v>50</v>
      </c>
      <c r="B175" s="3" t="s">
        <v>51</v>
      </c>
      <c r="C175" s="3" t="s">
        <v>14</v>
      </c>
      <c r="D175" s="4">
        <v>11003.7</v>
      </c>
      <c r="E175" s="4">
        <v>838.22</v>
      </c>
      <c r="F175" s="4">
        <v>305.35000000000002</v>
      </c>
      <c r="G175" s="4">
        <v>0</v>
      </c>
      <c r="H175" s="4">
        <v>9860.1299999999992</v>
      </c>
    </row>
    <row r="176" spans="1:8" ht="16" x14ac:dyDescent="0.2">
      <c r="A176" s="5" t="s">
        <v>50</v>
      </c>
      <c r="B176" s="5" t="s">
        <v>51</v>
      </c>
      <c r="C176" s="5" t="s">
        <v>15</v>
      </c>
      <c r="D176" s="6">
        <v>11274.33</v>
      </c>
      <c r="E176" s="6">
        <v>867.66</v>
      </c>
      <c r="F176" s="6">
        <v>312.86</v>
      </c>
      <c r="G176" s="6">
        <v>0</v>
      </c>
      <c r="H176" s="6">
        <v>10093.81</v>
      </c>
    </row>
    <row r="177" spans="1:8" ht="16" x14ac:dyDescent="0.2">
      <c r="A177" s="3" t="s">
        <v>50</v>
      </c>
      <c r="B177" s="3" t="s">
        <v>51</v>
      </c>
      <c r="C177" s="3" t="s">
        <v>16</v>
      </c>
      <c r="D177" s="4">
        <v>11446.84</v>
      </c>
      <c r="E177" s="4">
        <v>886.43</v>
      </c>
      <c r="F177" s="4">
        <v>317.64999999999998</v>
      </c>
      <c r="G177" s="4">
        <v>0</v>
      </c>
      <c r="H177" s="4">
        <v>10242.76</v>
      </c>
    </row>
    <row r="178" spans="1:8" ht="16" x14ac:dyDescent="0.2">
      <c r="A178" s="5" t="s">
        <v>50</v>
      </c>
      <c r="B178" s="5" t="s">
        <v>51</v>
      </c>
      <c r="C178" s="5" t="s">
        <v>17</v>
      </c>
      <c r="D178" s="6">
        <v>11265.5</v>
      </c>
      <c r="E178" s="6">
        <v>866.7</v>
      </c>
      <c r="F178" s="6">
        <v>312.62</v>
      </c>
      <c r="G178" s="6">
        <v>0</v>
      </c>
      <c r="H178" s="6">
        <v>10086.18</v>
      </c>
    </row>
    <row r="179" spans="1:8" ht="16" x14ac:dyDescent="0.2">
      <c r="A179" s="3" t="s">
        <v>50</v>
      </c>
      <c r="B179" s="3" t="s">
        <v>51</v>
      </c>
      <c r="C179" s="3" t="s">
        <v>18</v>
      </c>
      <c r="D179" s="4">
        <v>11562.43</v>
      </c>
      <c r="E179" s="4">
        <v>899.01</v>
      </c>
      <c r="F179" s="4">
        <v>320.86</v>
      </c>
      <c r="G179" s="4">
        <v>0</v>
      </c>
      <c r="H179" s="4">
        <v>10342.56</v>
      </c>
    </row>
    <row r="180" spans="1:8" ht="16" x14ac:dyDescent="0.2">
      <c r="A180" s="5" t="s">
        <v>50</v>
      </c>
      <c r="B180" s="5" t="s">
        <v>51</v>
      </c>
      <c r="C180" s="5" t="s">
        <v>19</v>
      </c>
      <c r="D180" s="6">
        <v>11024.8</v>
      </c>
      <c r="E180" s="6">
        <v>840.51</v>
      </c>
      <c r="F180" s="6">
        <v>305.94</v>
      </c>
      <c r="G180" s="6">
        <v>0</v>
      </c>
      <c r="H180" s="6">
        <v>9878.35</v>
      </c>
    </row>
    <row r="181" spans="1:8" ht="16" x14ac:dyDescent="0.2">
      <c r="A181" s="3" t="s">
        <v>50</v>
      </c>
      <c r="B181" s="3" t="s">
        <v>51</v>
      </c>
      <c r="C181" s="3" t="s">
        <v>20</v>
      </c>
      <c r="D181" s="4">
        <v>11486.66</v>
      </c>
      <c r="E181" s="4">
        <v>890.76</v>
      </c>
      <c r="F181" s="4">
        <v>318.75</v>
      </c>
      <c r="G181" s="4">
        <v>0</v>
      </c>
      <c r="H181" s="4">
        <v>10277.15</v>
      </c>
    </row>
    <row r="182" spans="1:8" ht="16" x14ac:dyDescent="0.2">
      <c r="A182" s="5" t="s">
        <v>50</v>
      </c>
      <c r="B182" s="5" t="s">
        <v>51</v>
      </c>
      <c r="C182" s="5" t="s">
        <v>21</v>
      </c>
      <c r="D182" s="6">
        <v>11179.82</v>
      </c>
      <c r="E182" s="6">
        <v>857.38</v>
      </c>
      <c r="F182" s="6">
        <v>310.24</v>
      </c>
      <c r="G182" s="6">
        <v>0</v>
      </c>
      <c r="H182" s="6">
        <v>10012.200000000001</v>
      </c>
    </row>
    <row r="183" spans="1:8" ht="16" x14ac:dyDescent="0.2">
      <c r="A183" s="3" t="s">
        <v>50</v>
      </c>
      <c r="B183" s="3" t="s">
        <v>51</v>
      </c>
      <c r="C183" s="3" t="s">
        <v>22</v>
      </c>
      <c r="D183" s="4">
        <v>11203.72</v>
      </c>
      <c r="E183" s="4">
        <v>859.98</v>
      </c>
      <c r="F183" s="4">
        <v>310.89999999999998</v>
      </c>
      <c r="G183" s="4">
        <v>0</v>
      </c>
      <c r="H183" s="4">
        <v>10032.84</v>
      </c>
    </row>
    <row r="184" spans="1:8" ht="16" x14ac:dyDescent="0.2">
      <c r="A184" s="5" t="s">
        <v>50</v>
      </c>
      <c r="B184" s="5" t="s">
        <v>51</v>
      </c>
      <c r="C184" s="5" t="s">
        <v>23</v>
      </c>
      <c r="D184" s="6">
        <v>11196.11</v>
      </c>
      <c r="E184" s="6">
        <v>859.15</v>
      </c>
      <c r="F184" s="6">
        <v>310.69</v>
      </c>
      <c r="G184" s="6">
        <v>0</v>
      </c>
      <c r="H184" s="6">
        <v>10026.27</v>
      </c>
    </row>
    <row r="185" spans="1:8" ht="16" x14ac:dyDescent="0.2">
      <c r="A185" s="3" t="s">
        <v>52</v>
      </c>
      <c r="B185" s="3" t="s">
        <v>53</v>
      </c>
      <c r="C185" s="3" t="s">
        <v>12</v>
      </c>
      <c r="D185" s="4">
        <v>25484.75</v>
      </c>
      <c r="E185" s="4">
        <v>3555.19</v>
      </c>
      <c r="F185" s="4">
        <v>707.2</v>
      </c>
      <c r="G185" s="4">
        <v>0</v>
      </c>
      <c r="H185" s="4">
        <v>21222.36</v>
      </c>
    </row>
    <row r="186" spans="1:8" ht="16" x14ac:dyDescent="0.2">
      <c r="A186" s="5" t="s">
        <v>52</v>
      </c>
      <c r="B186" s="5" t="s">
        <v>53</v>
      </c>
      <c r="C186" s="5" t="s">
        <v>13</v>
      </c>
      <c r="D186" s="6">
        <v>25545.33</v>
      </c>
      <c r="E186" s="6">
        <v>3568.13</v>
      </c>
      <c r="F186" s="6">
        <v>708.88</v>
      </c>
      <c r="G186" s="6">
        <v>0</v>
      </c>
      <c r="H186" s="6">
        <v>21268.32</v>
      </c>
    </row>
    <row r="187" spans="1:8" ht="16" x14ac:dyDescent="0.2">
      <c r="A187" s="3" t="s">
        <v>52</v>
      </c>
      <c r="B187" s="3" t="s">
        <v>53</v>
      </c>
      <c r="C187" s="3" t="s">
        <v>14</v>
      </c>
      <c r="D187" s="4">
        <v>25420.59</v>
      </c>
      <c r="E187" s="4">
        <v>3541.49</v>
      </c>
      <c r="F187" s="4">
        <v>705.42</v>
      </c>
      <c r="G187" s="4">
        <v>0</v>
      </c>
      <c r="H187" s="4">
        <v>21173.68</v>
      </c>
    </row>
    <row r="188" spans="1:8" ht="16" x14ac:dyDescent="0.2">
      <c r="A188" s="5" t="s">
        <v>52</v>
      </c>
      <c r="B188" s="5" t="s">
        <v>53</v>
      </c>
      <c r="C188" s="5" t="s">
        <v>15</v>
      </c>
      <c r="D188" s="6">
        <v>25782.880000000001</v>
      </c>
      <c r="E188" s="6">
        <v>3618.88</v>
      </c>
      <c r="F188" s="6">
        <v>715.47</v>
      </c>
      <c r="G188" s="6">
        <v>0</v>
      </c>
      <c r="H188" s="6">
        <v>21448.53</v>
      </c>
    </row>
    <row r="189" spans="1:8" ht="16" x14ac:dyDescent="0.2">
      <c r="A189" s="3" t="s">
        <v>52</v>
      </c>
      <c r="B189" s="3" t="s">
        <v>53</v>
      </c>
      <c r="C189" s="3" t="s">
        <v>16</v>
      </c>
      <c r="D189" s="4">
        <v>26220.19</v>
      </c>
      <c r="E189" s="4">
        <v>3712.28</v>
      </c>
      <c r="F189" s="4">
        <v>727.61</v>
      </c>
      <c r="G189" s="4">
        <v>0</v>
      </c>
      <c r="H189" s="4">
        <v>21780.3</v>
      </c>
    </row>
    <row r="190" spans="1:8" ht="16" x14ac:dyDescent="0.2">
      <c r="A190" s="5" t="s">
        <v>52</v>
      </c>
      <c r="B190" s="5" t="s">
        <v>53</v>
      </c>
      <c r="C190" s="5" t="s">
        <v>17</v>
      </c>
      <c r="D190" s="6">
        <v>25656.22</v>
      </c>
      <c r="E190" s="6">
        <v>3591.82</v>
      </c>
      <c r="F190" s="6">
        <v>711.96</v>
      </c>
      <c r="G190" s="6">
        <v>0</v>
      </c>
      <c r="H190" s="6">
        <v>21352.44</v>
      </c>
    </row>
    <row r="191" spans="1:8" ht="16" x14ac:dyDescent="0.2">
      <c r="A191" s="3" t="s">
        <v>52</v>
      </c>
      <c r="B191" s="3" t="s">
        <v>53</v>
      </c>
      <c r="C191" s="3" t="s">
        <v>18</v>
      </c>
      <c r="D191" s="4">
        <v>25736.62</v>
      </c>
      <c r="E191" s="4">
        <v>3608.99</v>
      </c>
      <c r="F191" s="4">
        <v>714.19</v>
      </c>
      <c r="G191" s="4">
        <v>0</v>
      </c>
      <c r="H191" s="4">
        <v>21413.439999999999</v>
      </c>
    </row>
    <row r="192" spans="1:8" ht="16" x14ac:dyDescent="0.2">
      <c r="A192" s="5" t="s">
        <v>52</v>
      </c>
      <c r="B192" s="5" t="s">
        <v>53</v>
      </c>
      <c r="C192" s="5" t="s">
        <v>19</v>
      </c>
      <c r="D192" s="6">
        <v>25517.05</v>
      </c>
      <c r="E192" s="6">
        <v>3562.09</v>
      </c>
      <c r="F192" s="6">
        <v>708.1</v>
      </c>
      <c r="G192" s="6">
        <v>0</v>
      </c>
      <c r="H192" s="6">
        <v>21246.86</v>
      </c>
    </row>
    <row r="193" spans="1:8" ht="16" x14ac:dyDescent="0.2">
      <c r="A193" s="3" t="s">
        <v>52</v>
      </c>
      <c r="B193" s="3" t="s">
        <v>53</v>
      </c>
      <c r="C193" s="3" t="s">
        <v>20</v>
      </c>
      <c r="D193" s="4">
        <v>25758.82</v>
      </c>
      <c r="E193" s="4">
        <v>3613.74</v>
      </c>
      <c r="F193" s="4">
        <v>714.81</v>
      </c>
      <c r="G193" s="4">
        <v>0</v>
      </c>
      <c r="H193" s="4">
        <v>21430.27</v>
      </c>
    </row>
    <row r="194" spans="1:8" ht="16" x14ac:dyDescent="0.2">
      <c r="A194" s="5" t="s">
        <v>52</v>
      </c>
      <c r="B194" s="5" t="s">
        <v>53</v>
      </c>
      <c r="C194" s="5" t="s">
        <v>21</v>
      </c>
      <c r="D194" s="6">
        <v>25198.82</v>
      </c>
      <c r="E194" s="6">
        <v>3494.12</v>
      </c>
      <c r="F194" s="6">
        <v>699.27</v>
      </c>
      <c r="G194" s="6">
        <v>0</v>
      </c>
      <c r="H194" s="6">
        <v>21005.43</v>
      </c>
    </row>
    <row r="195" spans="1:8" ht="16" x14ac:dyDescent="0.2">
      <c r="A195" s="3" t="s">
        <v>52</v>
      </c>
      <c r="B195" s="3" t="s">
        <v>53</v>
      </c>
      <c r="C195" s="3" t="s">
        <v>22</v>
      </c>
      <c r="D195" s="4">
        <v>26245.49</v>
      </c>
      <c r="E195" s="4">
        <v>3717.69</v>
      </c>
      <c r="F195" s="4">
        <v>728.31</v>
      </c>
      <c r="G195" s="4">
        <v>0</v>
      </c>
      <c r="H195" s="4">
        <v>21799.49</v>
      </c>
    </row>
    <row r="196" spans="1:8" ht="16" x14ac:dyDescent="0.2">
      <c r="A196" s="5" t="s">
        <v>52</v>
      </c>
      <c r="B196" s="5" t="s">
        <v>53</v>
      </c>
      <c r="C196" s="5" t="s">
        <v>23</v>
      </c>
      <c r="D196" s="6">
        <v>26245.66</v>
      </c>
      <c r="E196" s="6">
        <v>3717.73</v>
      </c>
      <c r="F196" s="6">
        <v>728.32</v>
      </c>
      <c r="G196" s="6">
        <v>0</v>
      </c>
      <c r="H196" s="6">
        <v>21799.61</v>
      </c>
    </row>
    <row r="197" spans="1:8" ht="16" x14ac:dyDescent="0.2">
      <c r="A197" s="3" t="s">
        <v>54</v>
      </c>
      <c r="B197" s="3" t="s">
        <v>55</v>
      </c>
      <c r="C197" s="3" t="s">
        <v>12</v>
      </c>
      <c r="D197" s="4">
        <v>27082.94</v>
      </c>
      <c r="E197" s="4">
        <v>3896.57</v>
      </c>
      <c r="F197" s="4">
        <v>751.55</v>
      </c>
      <c r="G197" s="4">
        <v>0</v>
      </c>
      <c r="H197" s="4">
        <v>22434.82</v>
      </c>
    </row>
    <row r="198" spans="1:8" ht="16" x14ac:dyDescent="0.2">
      <c r="A198" s="5" t="s">
        <v>54</v>
      </c>
      <c r="B198" s="5" t="s">
        <v>55</v>
      </c>
      <c r="C198" s="5" t="s">
        <v>13</v>
      </c>
      <c r="D198" s="6">
        <v>26101.57</v>
      </c>
      <c r="E198" s="6">
        <v>3686.95</v>
      </c>
      <c r="F198" s="6">
        <v>724.32</v>
      </c>
      <c r="G198" s="6">
        <v>0</v>
      </c>
      <c r="H198" s="6">
        <v>21690.3</v>
      </c>
    </row>
    <row r="199" spans="1:8" ht="16" x14ac:dyDescent="0.2">
      <c r="A199" s="3" t="s">
        <v>54</v>
      </c>
      <c r="B199" s="3" t="s">
        <v>55</v>
      </c>
      <c r="C199" s="3" t="s">
        <v>14</v>
      </c>
      <c r="D199" s="4">
        <v>27251.360000000001</v>
      </c>
      <c r="E199" s="4">
        <v>3932.54</v>
      </c>
      <c r="F199" s="4">
        <v>756.23</v>
      </c>
      <c r="G199" s="4">
        <v>0</v>
      </c>
      <c r="H199" s="4">
        <v>22562.59</v>
      </c>
    </row>
    <row r="200" spans="1:8" ht="16" x14ac:dyDescent="0.2">
      <c r="A200" s="5" t="s">
        <v>54</v>
      </c>
      <c r="B200" s="5" t="s">
        <v>55</v>
      </c>
      <c r="C200" s="5" t="s">
        <v>15</v>
      </c>
      <c r="D200" s="6">
        <v>27131.89</v>
      </c>
      <c r="E200" s="6">
        <v>3907.02</v>
      </c>
      <c r="F200" s="6">
        <v>752.91</v>
      </c>
      <c r="G200" s="6">
        <v>0</v>
      </c>
      <c r="H200" s="6">
        <v>22471.96</v>
      </c>
    </row>
    <row r="201" spans="1:8" ht="16" x14ac:dyDescent="0.2">
      <c r="A201" s="3" t="s">
        <v>54</v>
      </c>
      <c r="B201" s="3" t="s">
        <v>55</v>
      </c>
      <c r="C201" s="3" t="s">
        <v>16</v>
      </c>
      <c r="D201" s="4">
        <v>26761.11</v>
      </c>
      <c r="E201" s="4">
        <v>3827.83</v>
      </c>
      <c r="F201" s="4">
        <v>742.62</v>
      </c>
      <c r="G201" s="4">
        <v>0</v>
      </c>
      <c r="H201" s="4">
        <v>22190.66</v>
      </c>
    </row>
    <row r="202" spans="1:8" ht="16" x14ac:dyDescent="0.2">
      <c r="A202" s="5" t="s">
        <v>54</v>
      </c>
      <c r="B202" s="5" t="s">
        <v>55</v>
      </c>
      <c r="C202" s="5" t="s">
        <v>17</v>
      </c>
      <c r="D202" s="6">
        <v>26382.78</v>
      </c>
      <c r="E202" s="6">
        <v>3747.01</v>
      </c>
      <c r="F202" s="6">
        <v>732.12</v>
      </c>
      <c r="G202" s="6">
        <v>0</v>
      </c>
      <c r="H202" s="6">
        <v>21903.65</v>
      </c>
    </row>
    <row r="203" spans="1:8" ht="16" x14ac:dyDescent="0.2">
      <c r="A203" s="3" t="s">
        <v>54</v>
      </c>
      <c r="B203" s="3" t="s">
        <v>55</v>
      </c>
      <c r="C203" s="3" t="s">
        <v>18</v>
      </c>
      <c r="D203" s="4">
        <v>26980.19</v>
      </c>
      <c r="E203" s="4">
        <v>3874.62</v>
      </c>
      <c r="F203" s="4">
        <v>748.7</v>
      </c>
      <c r="G203" s="4">
        <v>0</v>
      </c>
      <c r="H203" s="4">
        <v>22356.87</v>
      </c>
    </row>
    <row r="204" spans="1:8" ht="16" x14ac:dyDescent="0.2">
      <c r="A204" s="5" t="s">
        <v>54</v>
      </c>
      <c r="B204" s="5" t="s">
        <v>55</v>
      </c>
      <c r="C204" s="5" t="s">
        <v>19</v>
      </c>
      <c r="D204" s="6">
        <v>27085.53</v>
      </c>
      <c r="E204" s="6">
        <v>3897.12</v>
      </c>
      <c r="F204" s="6">
        <v>751.62</v>
      </c>
      <c r="G204" s="6">
        <v>0</v>
      </c>
      <c r="H204" s="6">
        <v>22436.79</v>
      </c>
    </row>
    <row r="205" spans="1:8" ht="16" x14ac:dyDescent="0.2">
      <c r="A205" s="3" t="s">
        <v>54</v>
      </c>
      <c r="B205" s="3" t="s">
        <v>55</v>
      </c>
      <c r="C205" s="3" t="s">
        <v>20</v>
      </c>
      <c r="D205" s="4">
        <v>26800.45</v>
      </c>
      <c r="E205" s="4">
        <v>3836.23</v>
      </c>
      <c r="F205" s="4">
        <v>743.71</v>
      </c>
      <c r="G205" s="4">
        <v>0</v>
      </c>
      <c r="H205" s="4">
        <v>22220.51</v>
      </c>
    </row>
    <row r="206" spans="1:8" ht="16" x14ac:dyDescent="0.2">
      <c r="A206" s="5" t="s">
        <v>54</v>
      </c>
      <c r="B206" s="5" t="s">
        <v>55</v>
      </c>
      <c r="C206" s="5" t="s">
        <v>21</v>
      </c>
      <c r="D206" s="6">
        <v>27263.33</v>
      </c>
      <c r="E206" s="6">
        <v>3935.1</v>
      </c>
      <c r="F206" s="6">
        <v>756.56</v>
      </c>
      <c r="G206" s="6">
        <v>0</v>
      </c>
      <c r="H206" s="6">
        <v>22571.67</v>
      </c>
    </row>
    <row r="207" spans="1:8" ht="16" x14ac:dyDescent="0.2">
      <c r="A207" s="3" t="s">
        <v>54</v>
      </c>
      <c r="B207" s="3" t="s">
        <v>55</v>
      </c>
      <c r="C207" s="3" t="s">
        <v>22</v>
      </c>
      <c r="D207" s="4">
        <v>26293.56</v>
      </c>
      <c r="E207" s="4">
        <v>3727.96</v>
      </c>
      <c r="F207" s="4">
        <v>729.65</v>
      </c>
      <c r="G207" s="4">
        <v>0</v>
      </c>
      <c r="H207" s="4">
        <v>21835.95</v>
      </c>
    </row>
    <row r="208" spans="1:8" ht="16" x14ac:dyDescent="0.2">
      <c r="A208" s="5" t="s">
        <v>54</v>
      </c>
      <c r="B208" s="5" t="s">
        <v>55</v>
      </c>
      <c r="C208" s="5" t="s">
        <v>23</v>
      </c>
      <c r="D208" s="6">
        <v>25982.87</v>
      </c>
      <c r="E208" s="6">
        <v>3661.59</v>
      </c>
      <c r="F208" s="6">
        <v>721.02</v>
      </c>
      <c r="G208" s="6">
        <v>0</v>
      </c>
      <c r="H208" s="6">
        <v>21600.26</v>
      </c>
    </row>
    <row r="209" spans="1:8" ht="16" x14ac:dyDescent="0.2">
      <c r="A209" s="3" t="s">
        <v>56</v>
      </c>
      <c r="B209" s="3" t="s">
        <v>57</v>
      </c>
      <c r="C209" s="3" t="s">
        <v>12</v>
      </c>
      <c r="D209" s="4">
        <v>9323.73</v>
      </c>
      <c r="E209" s="4">
        <v>655.44</v>
      </c>
      <c r="F209" s="4">
        <v>258.73</v>
      </c>
      <c r="G209" s="4">
        <v>0</v>
      </c>
      <c r="H209" s="4">
        <v>8409.56</v>
      </c>
    </row>
    <row r="210" spans="1:8" ht="16" x14ac:dyDescent="0.2">
      <c r="A210" s="5" t="s">
        <v>56</v>
      </c>
      <c r="B210" s="5" t="s">
        <v>57</v>
      </c>
      <c r="C210" s="5" t="s">
        <v>13</v>
      </c>
      <c r="D210" s="6">
        <v>9304.82</v>
      </c>
      <c r="E210" s="6">
        <v>653.38</v>
      </c>
      <c r="F210" s="6">
        <v>258.20999999999998</v>
      </c>
      <c r="G210" s="6">
        <v>0</v>
      </c>
      <c r="H210" s="6">
        <v>8393.23</v>
      </c>
    </row>
    <row r="211" spans="1:8" ht="16" x14ac:dyDescent="0.2">
      <c r="A211" s="3" t="s">
        <v>56</v>
      </c>
      <c r="B211" s="3" t="s">
        <v>57</v>
      </c>
      <c r="C211" s="3" t="s">
        <v>14</v>
      </c>
      <c r="D211" s="4">
        <v>9066.0400000000009</v>
      </c>
      <c r="E211" s="4">
        <v>627.4</v>
      </c>
      <c r="F211" s="4">
        <v>251.58</v>
      </c>
      <c r="G211" s="4">
        <v>0</v>
      </c>
      <c r="H211" s="4">
        <v>8187.06</v>
      </c>
    </row>
    <row r="212" spans="1:8" ht="16" x14ac:dyDescent="0.2">
      <c r="A212" s="5" t="s">
        <v>56</v>
      </c>
      <c r="B212" s="5" t="s">
        <v>57</v>
      </c>
      <c r="C212" s="5" t="s">
        <v>15</v>
      </c>
      <c r="D212" s="6">
        <v>9403.76</v>
      </c>
      <c r="E212" s="6">
        <v>664.14</v>
      </c>
      <c r="F212" s="6">
        <v>260.95</v>
      </c>
      <c r="G212" s="6">
        <v>0</v>
      </c>
      <c r="H212" s="6">
        <v>8478.67</v>
      </c>
    </row>
    <row r="213" spans="1:8" ht="16" x14ac:dyDescent="0.2">
      <c r="A213" s="3" t="s">
        <v>56</v>
      </c>
      <c r="B213" s="3" t="s">
        <v>57</v>
      </c>
      <c r="C213" s="3" t="s">
        <v>16</v>
      </c>
      <c r="D213" s="4">
        <v>9314.52</v>
      </c>
      <c r="E213" s="4">
        <v>654.42999999999995</v>
      </c>
      <c r="F213" s="4">
        <v>258.48</v>
      </c>
      <c r="G213" s="4">
        <v>0</v>
      </c>
      <c r="H213" s="4">
        <v>8401.61</v>
      </c>
    </row>
    <row r="214" spans="1:8" ht="16" x14ac:dyDescent="0.2">
      <c r="A214" s="5" t="s">
        <v>56</v>
      </c>
      <c r="B214" s="5" t="s">
        <v>57</v>
      </c>
      <c r="C214" s="5" t="s">
        <v>17</v>
      </c>
      <c r="D214" s="6">
        <v>9321.34</v>
      </c>
      <c r="E214" s="6">
        <v>655.17999999999995</v>
      </c>
      <c r="F214" s="6">
        <v>258.67</v>
      </c>
      <c r="G214" s="6">
        <v>0</v>
      </c>
      <c r="H214" s="6">
        <v>8407.49</v>
      </c>
    </row>
    <row r="215" spans="1:8" ht="16" x14ac:dyDescent="0.2">
      <c r="A215" s="3" t="s">
        <v>56</v>
      </c>
      <c r="B215" s="3" t="s">
        <v>57</v>
      </c>
      <c r="C215" s="3" t="s">
        <v>18</v>
      </c>
      <c r="D215" s="4">
        <v>9124.3799999999992</v>
      </c>
      <c r="E215" s="4">
        <v>633.75</v>
      </c>
      <c r="F215" s="4">
        <v>253.2</v>
      </c>
      <c r="G215" s="4">
        <v>0</v>
      </c>
      <c r="H215" s="4">
        <v>8237.43</v>
      </c>
    </row>
    <row r="216" spans="1:8" ht="16" x14ac:dyDescent="0.2">
      <c r="A216" s="5" t="s">
        <v>56</v>
      </c>
      <c r="B216" s="5" t="s">
        <v>57</v>
      </c>
      <c r="C216" s="5" t="s">
        <v>19</v>
      </c>
      <c r="D216" s="6">
        <v>9169.09</v>
      </c>
      <c r="E216" s="6">
        <v>638.61</v>
      </c>
      <c r="F216" s="6">
        <v>254.44</v>
      </c>
      <c r="G216" s="6">
        <v>0</v>
      </c>
      <c r="H216" s="6">
        <v>8276.0400000000009</v>
      </c>
    </row>
    <row r="217" spans="1:8" ht="16" x14ac:dyDescent="0.2">
      <c r="A217" s="3" t="s">
        <v>56</v>
      </c>
      <c r="B217" s="3" t="s">
        <v>57</v>
      </c>
      <c r="C217" s="3" t="s">
        <v>20</v>
      </c>
      <c r="D217" s="4">
        <v>9154.27</v>
      </c>
      <c r="E217" s="4">
        <v>637</v>
      </c>
      <c r="F217" s="4">
        <v>254.03</v>
      </c>
      <c r="G217" s="4">
        <v>0</v>
      </c>
      <c r="H217" s="4">
        <v>8263.24</v>
      </c>
    </row>
    <row r="218" spans="1:8" ht="16" x14ac:dyDescent="0.2">
      <c r="A218" s="5" t="s">
        <v>56</v>
      </c>
      <c r="B218" s="5" t="s">
        <v>57</v>
      </c>
      <c r="C218" s="5" t="s">
        <v>21</v>
      </c>
      <c r="D218" s="6">
        <v>9314.48</v>
      </c>
      <c r="E218" s="6">
        <v>654.42999999999995</v>
      </c>
      <c r="F218" s="6">
        <v>258.48</v>
      </c>
      <c r="G218" s="6">
        <v>0</v>
      </c>
      <c r="H218" s="6">
        <v>8401.57</v>
      </c>
    </row>
    <row r="219" spans="1:8" ht="16" x14ac:dyDescent="0.2">
      <c r="A219" s="3" t="s">
        <v>56</v>
      </c>
      <c r="B219" s="3" t="s">
        <v>57</v>
      </c>
      <c r="C219" s="3" t="s">
        <v>22</v>
      </c>
      <c r="D219" s="4">
        <v>9061.4500000000007</v>
      </c>
      <c r="E219" s="4">
        <v>626.9</v>
      </c>
      <c r="F219" s="4">
        <v>251.46</v>
      </c>
      <c r="G219" s="4">
        <v>0</v>
      </c>
      <c r="H219" s="4">
        <v>8183.09</v>
      </c>
    </row>
    <row r="220" spans="1:8" ht="16" x14ac:dyDescent="0.2">
      <c r="A220" s="5" t="s">
        <v>56</v>
      </c>
      <c r="B220" s="5" t="s">
        <v>57</v>
      </c>
      <c r="C220" s="5" t="s">
        <v>23</v>
      </c>
      <c r="D220" s="6">
        <v>9151.83</v>
      </c>
      <c r="E220" s="6">
        <v>636.73</v>
      </c>
      <c r="F220" s="6">
        <v>253.96</v>
      </c>
      <c r="G220" s="6">
        <v>0</v>
      </c>
      <c r="H220" s="6">
        <v>8261.14</v>
      </c>
    </row>
    <row r="221" spans="1:8" ht="16" x14ac:dyDescent="0.2">
      <c r="A221" s="3" t="s">
        <v>58</v>
      </c>
      <c r="B221" s="3" t="s">
        <v>59</v>
      </c>
      <c r="C221" s="3" t="s">
        <v>12</v>
      </c>
      <c r="D221" s="4">
        <v>17379.57</v>
      </c>
      <c r="E221" s="4">
        <v>1829.24</v>
      </c>
      <c r="F221" s="4">
        <v>482.28</v>
      </c>
      <c r="G221" s="4">
        <v>0</v>
      </c>
      <c r="H221" s="4">
        <v>15068.05</v>
      </c>
    </row>
    <row r="222" spans="1:8" ht="16" x14ac:dyDescent="0.2">
      <c r="A222" s="5" t="s">
        <v>58</v>
      </c>
      <c r="B222" s="5" t="s">
        <v>59</v>
      </c>
      <c r="C222" s="5" t="s">
        <v>13</v>
      </c>
      <c r="D222" s="6">
        <v>17925.560000000001</v>
      </c>
      <c r="E222" s="6">
        <v>1940.55</v>
      </c>
      <c r="F222" s="6">
        <v>497.43</v>
      </c>
      <c r="G222" s="6">
        <v>0</v>
      </c>
      <c r="H222" s="6">
        <v>15487.58</v>
      </c>
    </row>
    <row r="223" spans="1:8" ht="16" x14ac:dyDescent="0.2">
      <c r="A223" s="3" t="s">
        <v>58</v>
      </c>
      <c r="B223" s="3" t="s">
        <v>59</v>
      </c>
      <c r="C223" s="3" t="s">
        <v>14</v>
      </c>
      <c r="D223" s="4">
        <v>18004.88</v>
      </c>
      <c r="E223" s="4">
        <v>1957.49</v>
      </c>
      <c r="F223" s="4">
        <v>499.64</v>
      </c>
      <c r="G223" s="4">
        <v>0</v>
      </c>
      <c r="H223" s="4">
        <v>15547.75</v>
      </c>
    </row>
    <row r="224" spans="1:8" ht="16" x14ac:dyDescent="0.2">
      <c r="A224" s="5" t="s">
        <v>58</v>
      </c>
      <c r="B224" s="5" t="s">
        <v>59</v>
      </c>
      <c r="C224" s="5" t="s">
        <v>15</v>
      </c>
      <c r="D224" s="6">
        <v>17965.78</v>
      </c>
      <c r="E224" s="6">
        <v>1949.14</v>
      </c>
      <c r="F224" s="6">
        <v>498.55</v>
      </c>
      <c r="G224" s="6">
        <v>0</v>
      </c>
      <c r="H224" s="6">
        <v>15518.09</v>
      </c>
    </row>
    <row r="225" spans="1:8" ht="16" x14ac:dyDescent="0.2">
      <c r="A225" s="3" t="s">
        <v>58</v>
      </c>
      <c r="B225" s="3" t="s">
        <v>59</v>
      </c>
      <c r="C225" s="3" t="s">
        <v>16</v>
      </c>
      <c r="D225" s="4">
        <v>17394.689999999999</v>
      </c>
      <c r="E225" s="4">
        <v>1831.95</v>
      </c>
      <c r="F225" s="4">
        <v>482.7</v>
      </c>
      <c r="G225" s="4">
        <v>0</v>
      </c>
      <c r="H225" s="4">
        <v>15080.04</v>
      </c>
    </row>
    <row r="226" spans="1:8" ht="16" x14ac:dyDescent="0.2">
      <c r="A226" s="5" t="s">
        <v>58</v>
      </c>
      <c r="B226" s="5" t="s">
        <v>59</v>
      </c>
      <c r="C226" s="5" t="s">
        <v>17</v>
      </c>
      <c r="D226" s="6">
        <v>17867.63</v>
      </c>
      <c r="E226" s="6">
        <v>1928.18</v>
      </c>
      <c r="F226" s="6">
        <v>495.83</v>
      </c>
      <c r="G226" s="6">
        <v>0</v>
      </c>
      <c r="H226" s="6">
        <v>15443.62</v>
      </c>
    </row>
    <row r="227" spans="1:8" ht="16" x14ac:dyDescent="0.2">
      <c r="A227" s="3" t="s">
        <v>58</v>
      </c>
      <c r="B227" s="3" t="s">
        <v>59</v>
      </c>
      <c r="C227" s="3" t="s">
        <v>18</v>
      </c>
      <c r="D227" s="4">
        <v>17736.3</v>
      </c>
      <c r="E227" s="4">
        <v>1900.13</v>
      </c>
      <c r="F227" s="4">
        <v>492.18</v>
      </c>
      <c r="G227" s="4">
        <v>0</v>
      </c>
      <c r="H227" s="4">
        <v>15343.99</v>
      </c>
    </row>
    <row r="228" spans="1:8" ht="16" x14ac:dyDescent="0.2">
      <c r="A228" s="5" t="s">
        <v>58</v>
      </c>
      <c r="B228" s="5" t="s">
        <v>59</v>
      </c>
      <c r="C228" s="5" t="s">
        <v>19</v>
      </c>
      <c r="D228" s="6">
        <v>17491.810000000001</v>
      </c>
      <c r="E228" s="6">
        <v>1849.35</v>
      </c>
      <c r="F228" s="6">
        <v>485.4</v>
      </c>
      <c r="G228" s="6">
        <v>0</v>
      </c>
      <c r="H228" s="6">
        <v>15157.06</v>
      </c>
    </row>
    <row r="229" spans="1:8" ht="16" x14ac:dyDescent="0.2">
      <c r="A229" s="3" t="s">
        <v>58</v>
      </c>
      <c r="B229" s="3" t="s">
        <v>59</v>
      </c>
      <c r="C229" s="3" t="s">
        <v>20</v>
      </c>
      <c r="D229" s="4">
        <v>18088.150000000001</v>
      </c>
      <c r="E229" s="4">
        <v>1975.28</v>
      </c>
      <c r="F229" s="4">
        <v>501.95</v>
      </c>
      <c r="G229" s="4">
        <v>0</v>
      </c>
      <c r="H229" s="4">
        <v>15610.92</v>
      </c>
    </row>
    <row r="230" spans="1:8" ht="16" x14ac:dyDescent="0.2">
      <c r="A230" s="5" t="s">
        <v>58</v>
      </c>
      <c r="B230" s="5" t="s">
        <v>59</v>
      </c>
      <c r="C230" s="5" t="s">
        <v>21</v>
      </c>
      <c r="D230" s="6">
        <v>17506.96</v>
      </c>
      <c r="E230" s="6">
        <v>1852.07</v>
      </c>
      <c r="F230" s="6">
        <v>485.82</v>
      </c>
      <c r="G230" s="6">
        <v>0</v>
      </c>
      <c r="H230" s="6">
        <v>15169.07</v>
      </c>
    </row>
    <row r="231" spans="1:8" ht="16" x14ac:dyDescent="0.2">
      <c r="A231" s="3" t="s">
        <v>58</v>
      </c>
      <c r="B231" s="3" t="s">
        <v>59</v>
      </c>
      <c r="C231" s="3" t="s">
        <v>22</v>
      </c>
      <c r="D231" s="4">
        <v>17532.03</v>
      </c>
      <c r="E231" s="4">
        <v>1856.56</v>
      </c>
      <c r="F231" s="4">
        <v>486.51</v>
      </c>
      <c r="G231" s="4">
        <v>0</v>
      </c>
      <c r="H231" s="4">
        <v>15188.96</v>
      </c>
    </row>
    <row r="232" spans="1:8" ht="16" x14ac:dyDescent="0.2">
      <c r="A232" s="5" t="s">
        <v>58</v>
      </c>
      <c r="B232" s="5" t="s">
        <v>59</v>
      </c>
      <c r="C232" s="5" t="s">
        <v>23</v>
      </c>
      <c r="D232" s="6">
        <v>17474.86</v>
      </c>
      <c r="E232" s="6">
        <v>1846.31</v>
      </c>
      <c r="F232" s="6">
        <v>484.93</v>
      </c>
      <c r="G232" s="6">
        <v>0</v>
      </c>
      <c r="H232" s="6">
        <v>15143.62</v>
      </c>
    </row>
    <row r="233" spans="1:8" ht="16" x14ac:dyDescent="0.2">
      <c r="A233" s="3" t="s">
        <v>60</v>
      </c>
      <c r="B233" s="3" t="s">
        <v>61</v>
      </c>
      <c r="C233" s="3" t="s">
        <v>12</v>
      </c>
      <c r="D233" s="4">
        <v>45386.89</v>
      </c>
      <c r="E233" s="4">
        <v>8022.82</v>
      </c>
      <c r="F233" s="4">
        <v>1259.49</v>
      </c>
      <c r="G233" s="4">
        <v>0</v>
      </c>
      <c r="H233" s="4">
        <v>36104.58</v>
      </c>
    </row>
    <row r="234" spans="1:8" ht="16" x14ac:dyDescent="0.2">
      <c r="A234" s="5" t="s">
        <v>60</v>
      </c>
      <c r="B234" s="5" t="s">
        <v>61</v>
      </c>
      <c r="C234" s="5" t="s">
        <v>13</v>
      </c>
      <c r="D234" s="6">
        <v>46718.55</v>
      </c>
      <c r="E234" s="6">
        <v>8336.02</v>
      </c>
      <c r="F234" s="6">
        <v>1296.44</v>
      </c>
      <c r="G234" s="6">
        <v>0</v>
      </c>
      <c r="H234" s="6">
        <v>37086.089999999997</v>
      </c>
    </row>
    <row r="235" spans="1:8" ht="16" x14ac:dyDescent="0.2">
      <c r="A235" s="3" t="s">
        <v>60</v>
      </c>
      <c r="B235" s="3" t="s">
        <v>61</v>
      </c>
      <c r="C235" s="3" t="s">
        <v>14</v>
      </c>
      <c r="D235" s="4">
        <v>46386.54</v>
      </c>
      <c r="E235" s="4">
        <v>8257.93</v>
      </c>
      <c r="F235" s="4">
        <v>1287.23</v>
      </c>
      <c r="G235" s="4">
        <v>0</v>
      </c>
      <c r="H235" s="4">
        <v>36841.379999999997</v>
      </c>
    </row>
    <row r="236" spans="1:8" ht="16" x14ac:dyDescent="0.2">
      <c r="A236" s="5" t="s">
        <v>60</v>
      </c>
      <c r="B236" s="5" t="s">
        <v>61</v>
      </c>
      <c r="C236" s="5" t="s">
        <v>15</v>
      </c>
      <c r="D236" s="6">
        <v>45394.79</v>
      </c>
      <c r="E236" s="6">
        <v>8024.67</v>
      </c>
      <c r="F236" s="6">
        <v>1259.71</v>
      </c>
      <c r="G236" s="6">
        <v>0</v>
      </c>
      <c r="H236" s="6">
        <v>36110.410000000003</v>
      </c>
    </row>
    <row r="237" spans="1:8" ht="16" x14ac:dyDescent="0.2">
      <c r="A237" s="3" t="s">
        <v>60</v>
      </c>
      <c r="B237" s="3" t="s">
        <v>61</v>
      </c>
      <c r="C237" s="3" t="s">
        <v>16</v>
      </c>
      <c r="D237" s="4">
        <v>44302.17</v>
      </c>
      <c r="E237" s="4">
        <v>7767.69</v>
      </c>
      <c r="F237" s="4">
        <v>1229.3900000000001</v>
      </c>
      <c r="G237" s="4">
        <v>0</v>
      </c>
      <c r="H237" s="4">
        <v>35305.089999999997</v>
      </c>
    </row>
    <row r="238" spans="1:8" ht="16" x14ac:dyDescent="0.2">
      <c r="A238" s="5" t="s">
        <v>60</v>
      </c>
      <c r="B238" s="5" t="s">
        <v>61</v>
      </c>
      <c r="C238" s="5" t="s">
        <v>17</v>
      </c>
      <c r="D238" s="6">
        <v>44523.98</v>
      </c>
      <c r="E238" s="6">
        <v>7819.86</v>
      </c>
      <c r="F238" s="6">
        <v>1235.54</v>
      </c>
      <c r="G238" s="6">
        <v>0</v>
      </c>
      <c r="H238" s="6">
        <v>35468.58</v>
      </c>
    </row>
    <row r="239" spans="1:8" ht="16" x14ac:dyDescent="0.2">
      <c r="A239" s="3" t="s">
        <v>60</v>
      </c>
      <c r="B239" s="3" t="s">
        <v>61</v>
      </c>
      <c r="C239" s="3" t="s">
        <v>18</v>
      </c>
      <c r="D239" s="4">
        <v>44322.83</v>
      </c>
      <c r="E239" s="4">
        <v>7772.55</v>
      </c>
      <c r="F239" s="4">
        <v>1229.96</v>
      </c>
      <c r="G239" s="4">
        <v>0</v>
      </c>
      <c r="H239" s="4">
        <v>35320.32</v>
      </c>
    </row>
    <row r="240" spans="1:8" ht="16" x14ac:dyDescent="0.2">
      <c r="A240" s="5" t="s">
        <v>60</v>
      </c>
      <c r="B240" s="5" t="s">
        <v>61</v>
      </c>
      <c r="C240" s="5" t="s">
        <v>19</v>
      </c>
      <c r="D240" s="6">
        <v>44596.72</v>
      </c>
      <c r="E240" s="6">
        <v>7836.97</v>
      </c>
      <c r="F240" s="6">
        <v>1237.56</v>
      </c>
      <c r="G240" s="6">
        <v>0</v>
      </c>
      <c r="H240" s="6">
        <v>35522.19</v>
      </c>
    </row>
    <row r="241" spans="1:8" ht="16" x14ac:dyDescent="0.2">
      <c r="A241" s="3" t="s">
        <v>60</v>
      </c>
      <c r="B241" s="3" t="s">
        <v>61</v>
      </c>
      <c r="C241" s="3" t="s">
        <v>20</v>
      </c>
      <c r="D241" s="4">
        <v>46137.53</v>
      </c>
      <c r="E241" s="4">
        <v>8199.3700000000008</v>
      </c>
      <c r="F241" s="4">
        <v>1280.32</v>
      </c>
      <c r="G241" s="4">
        <v>0</v>
      </c>
      <c r="H241" s="4">
        <v>36657.839999999997</v>
      </c>
    </row>
    <row r="242" spans="1:8" ht="16" x14ac:dyDescent="0.2">
      <c r="A242" s="5" t="s">
        <v>60</v>
      </c>
      <c r="B242" s="5" t="s">
        <v>61</v>
      </c>
      <c r="C242" s="5" t="s">
        <v>21</v>
      </c>
      <c r="D242" s="6">
        <v>45838.17</v>
      </c>
      <c r="E242" s="6">
        <v>8128.96</v>
      </c>
      <c r="F242" s="6">
        <v>1272.01</v>
      </c>
      <c r="G242" s="6">
        <v>0</v>
      </c>
      <c r="H242" s="6">
        <v>36437.199999999997</v>
      </c>
    </row>
    <row r="243" spans="1:8" ht="16" x14ac:dyDescent="0.2">
      <c r="A243" s="3" t="s">
        <v>60</v>
      </c>
      <c r="B243" s="3" t="s">
        <v>61</v>
      </c>
      <c r="C243" s="3" t="s">
        <v>22</v>
      </c>
      <c r="D243" s="4">
        <v>46822.74</v>
      </c>
      <c r="E243" s="4">
        <v>8360.5300000000007</v>
      </c>
      <c r="F243" s="4">
        <v>1299.33</v>
      </c>
      <c r="G243" s="4">
        <v>0</v>
      </c>
      <c r="H243" s="4">
        <v>37162.879999999997</v>
      </c>
    </row>
    <row r="244" spans="1:8" ht="16" x14ac:dyDescent="0.2">
      <c r="A244" s="5" t="s">
        <v>60</v>
      </c>
      <c r="B244" s="5" t="s">
        <v>61</v>
      </c>
      <c r="C244" s="5" t="s">
        <v>23</v>
      </c>
      <c r="D244" s="6">
        <v>45218.97</v>
      </c>
      <c r="E244" s="6">
        <v>7983.32</v>
      </c>
      <c r="F244" s="6">
        <v>1254.83</v>
      </c>
      <c r="G244" s="6">
        <v>0</v>
      </c>
      <c r="H244" s="6">
        <v>35980.82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baseColWidth="10" defaultColWidth="9.1640625" defaultRowHeight="15" x14ac:dyDescent="0.2"/>
  <cols>
    <col min="1" max="1" width="40" customWidth="1"/>
    <col min="2" max="2" width="17" customWidth="1"/>
    <col min="3" max="3" width="12" customWidth="1"/>
    <col min="4" max="4" width="21" customWidth="1"/>
    <col min="5" max="6" width="10" customWidth="1"/>
  </cols>
  <sheetData>
    <row r="1" spans="1:6" x14ac:dyDescent="0.2">
      <c r="A1" s="16" t="s">
        <v>62</v>
      </c>
      <c r="B1" s="17"/>
      <c r="C1" s="17"/>
      <c r="D1" s="17"/>
      <c r="E1" s="17"/>
      <c r="F1" s="17"/>
    </row>
    <row r="2" spans="1:6" x14ac:dyDescent="0.2">
      <c r="A2" s="1" t="s">
        <v>63</v>
      </c>
    </row>
    <row r="4" spans="1:6" ht="16" x14ac:dyDescent="0.2">
      <c r="A4" s="2" t="s">
        <v>64</v>
      </c>
      <c r="B4" s="2" t="s">
        <v>65</v>
      </c>
      <c r="C4" s="2" t="s">
        <v>66</v>
      </c>
      <c r="D4" s="2" t="s">
        <v>67</v>
      </c>
    </row>
    <row r="5" spans="1:6" x14ac:dyDescent="0.2">
      <c r="A5" s="4">
        <v>0.01</v>
      </c>
      <c r="B5" s="4">
        <v>844.59</v>
      </c>
      <c r="C5" s="4">
        <v>0</v>
      </c>
      <c r="D5" s="7">
        <v>1.9199999999999998E-2</v>
      </c>
    </row>
    <row r="6" spans="1:6" x14ac:dyDescent="0.2">
      <c r="A6" s="6">
        <v>844.6</v>
      </c>
      <c r="B6" s="6">
        <v>7168.51</v>
      </c>
      <c r="C6" s="6">
        <v>16.22</v>
      </c>
      <c r="D6" s="8">
        <v>6.4000000000000001E-2</v>
      </c>
    </row>
    <row r="7" spans="1:6" x14ac:dyDescent="0.2">
      <c r="A7" s="4">
        <v>7168.52</v>
      </c>
      <c r="B7" s="4">
        <v>12598.02</v>
      </c>
      <c r="C7" s="4">
        <v>420.95</v>
      </c>
      <c r="D7" s="7">
        <v>0.10879999999999999</v>
      </c>
    </row>
    <row r="8" spans="1:6" x14ac:dyDescent="0.2">
      <c r="A8" s="6">
        <v>12598.03</v>
      </c>
      <c r="B8" s="6">
        <v>14644.64</v>
      </c>
      <c r="C8" s="6">
        <v>1011.68</v>
      </c>
      <c r="D8" s="8">
        <v>0.16</v>
      </c>
    </row>
    <row r="9" spans="1:6" x14ac:dyDescent="0.2">
      <c r="A9" s="4">
        <v>14644.65</v>
      </c>
      <c r="B9" s="4">
        <v>17533.64</v>
      </c>
      <c r="C9" s="4">
        <v>1339.14</v>
      </c>
      <c r="D9" s="7">
        <v>0.1792</v>
      </c>
    </row>
    <row r="10" spans="1:6" x14ac:dyDescent="0.2">
      <c r="A10" s="6">
        <v>17533.650000000001</v>
      </c>
      <c r="B10" s="6">
        <v>35362.83</v>
      </c>
      <c r="C10" s="6">
        <v>1856.84</v>
      </c>
      <c r="D10" s="8">
        <v>0.21360000000000001</v>
      </c>
    </row>
    <row r="11" spans="1:6" x14ac:dyDescent="0.2">
      <c r="A11" s="4">
        <v>35362.839999999997</v>
      </c>
      <c r="B11" s="4">
        <v>55736.68</v>
      </c>
      <c r="C11" s="4">
        <v>5665.16</v>
      </c>
      <c r="D11" s="7">
        <v>0.23519999999999999</v>
      </c>
    </row>
    <row r="12" spans="1:6" x14ac:dyDescent="0.2">
      <c r="A12" s="6">
        <v>55736.69</v>
      </c>
      <c r="B12" s="6">
        <v>106410.5</v>
      </c>
      <c r="C12" s="6">
        <v>10457.09</v>
      </c>
      <c r="D12" s="8">
        <v>0.3</v>
      </c>
    </row>
    <row r="13" spans="1:6" x14ac:dyDescent="0.2">
      <c r="A13" s="4">
        <v>106410.51</v>
      </c>
      <c r="B13" s="4">
        <v>141880.66</v>
      </c>
      <c r="C13" s="4">
        <v>25659.23</v>
      </c>
      <c r="D13" s="7">
        <v>0.32</v>
      </c>
    </row>
    <row r="14" spans="1:6" x14ac:dyDescent="0.2">
      <c r="A14" s="6">
        <v>141880.67000000001</v>
      </c>
      <c r="B14" s="6">
        <v>425641.99</v>
      </c>
      <c r="C14" s="6">
        <v>37009.69</v>
      </c>
      <c r="D14" s="8">
        <v>0.34</v>
      </c>
    </row>
    <row r="15" spans="1:6" x14ac:dyDescent="0.2">
      <c r="A15" s="4">
        <v>425642</v>
      </c>
      <c r="B15" s="4">
        <v>999999999</v>
      </c>
      <c r="C15" s="4">
        <v>133488.54</v>
      </c>
      <c r="D15" s="7">
        <v>0.35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B10" sqref="B10"/>
    </sheetView>
  </sheetViews>
  <sheetFormatPr baseColWidth="10" defaultColWidth="9.1640625" defaultRowHeight="15" x14ac:dyDescent="0.2"/>
  <cols>
    <col min="1" max="1" width="48" customWidth="1"/>
    <col min="2" max="2" width="22" customWidth="1"/>
    <col min="3" max="3" width="55" customWidth="1"/>
  </cols>
  <sheetData>
    <row r="1" spans="1:5" x14ac:dyDescent="0.2">
      <c r="A1" s="16" t="s">
        <v>68</v>
      </c>
      <c r="B1" s="17"/>
      <c r="C1" s="17"/>
      <c r="D1" s="17"/>
      <c r="E1" s="17"/>
    </row>
    <row r="2" spans="1:5" x14ac:dyDescent="0.2">
      <c r="A2" s="1" t="s">
        <v>69</v>
      </c>
    </row>
    <row r="4" spans="1:5" ht="16" x14ac:dyDescent="0.2">
      <c r="A4" s="9" t="s">
        <v>70</v>
      </c>
      <c r="B4" s="10">
        <v>25000</v>
      </c>
    </row>
    <row r="5" spans="1:5" x14ac:dyDescent="0.2">
      <c r="A5" s="9" t="s">
        <v>71</v>
      </c>
      <c r="B5" s="11">
        <f>VLOOKUP(B4,Tarifa_ISR_Mensual[],1,TRUE)</f>
        <v>17533.650000000001</v>
      </c>
      <c r="C5" s="1" t="s">
        <v>72</v>
      </c>
    </row>
    <row r="6" spans="1:5" x14ac:dyDescent="0.2">
      <c r="A6" s="9" t="s">
        <v>73</v>
      </c>
      <c r="B6" s="11">
        <f>B4-B5</f>
        <v>7466.3499999999985</v>
      </c>
      <c r="C6" s="1" t="s">
        <v>74</v>
      </c>
    </row>
    <row r="7" spans="1:5" x14ac:dyDescent="0.2">
      <c r="A7" s="9" t="s">
        <v>75</v>
      </c>
      <c r="B7" s="12">
        <f>VLOOKUP(B4,Tarifa_ISR_Mensual[],4,TRUE)</f>
        <v>0.21360000000000001</v>
      </c>
      <c r="C7" s="1" t="s">
        <v>76</v>
      </c>
    </row>
    <row r="8" spans="1:5" x14ac:dyDescent="0.2">
      <c r="A8" s="9" t="s">
        <v>77</v>
      </c>
      <c r="B8" s="11">
        <f>B6*B7</f>
        <v>1594.8123599999997</v>
      </c>
      <c r="C8" s="1" t="s">
        <v>78</v>
      </c>
    </row>
    <row r="9" spans="1:5" x14ac:dyDescent="0.2">
      <c r="A9" s="9" t="s">
        <v>79</v>
      </c>
      <c r="B9" s="11">
        <f>VLOOKUP(B4,Tarifa_ISR_Mensual[],3,TRUE)</f>
        <v>1856.84</v>
      </c>
      <c r="C9" s="1" t="s">
        <v>80</v>
      </c>
    </row>
    <row r="10" spans="1:5" ht="16" x14ac:dyDescent="0.2">
      <c r="A10" s="9" t="s">
        <v>81</v>
      </c>
      <c r="B10" s="13">
        <f>B8+B9</f>
        <v>3451.6523599999996</v>
      </c>
      <c r="C10" s="1" t="s">
        <v>82</v>
      </c>
    </row>
    <row r="12" spans="1:5" x14ac:dyDescent="0.2">
      <c r="A12" s="9" t="s">
        <v>83</v>
      </c>
      <c r="B12" s="11">
        <f>MIN(B4,113.14*25*30)*0.02775</f>
        <v>693.75</v>
      </c>
      <c r="C12" s="1" t="s">
        <v>84</v>
      </c>
    </row>
    <row r="13" spans="1:5" x14ac:dyDescent="0.2">
      <c r="A13" s="9" t="s">
        <v>85</v>
      </c>
      <c r="B13" s="11">
        <v>0</v>
      </c>
      <c r="C13" s="1" t="s">
        <v>86</v>
      </c>
    </row>
    <row r="14" spans="1:5" ht="16" x14ac:dyDescent="0.2">
      <c r="A14" s="9" t="s">
        <v>87</v>
      </c>
      <c r="B14" s="13">
        <f>B4-B10-B12+B13</f>
        <v>20854.59764</v>
      </c>
      <c r="C14" s="1" t="s">
        <v>88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M31"/>
  <sheetViews>
    <sheetView workbookViewId="0">
      <selection sqref="A1:L1"/>
    </sheetView>
  </sheetViews>
  <sheetFormatPr baseColWidth="10" defaultColWidth="9.1640625" defaultRowHeight="15" x14ac:dyDescent="0.2"/>
  <cols>
    <col min="1" max="13" width="14" customWidth="1"/>
  </cols>
  <sheetData>
    <row r="1" spans="1:13" ht="35" customHeight="1" x14ac:dyDescent="0.2">
      <c r="A1" s="18" t="s">
        <v>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4"/>
    </row>
    <row r="2" spans="1:13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5" customHeight="1" x14ac:dyDescent="0.2">
      <c r="A3" s="14"/>
      <c r="B3" s="33" t="s">
        <v>90</v>
      </c>
      <c r="C3" s="34"/>
      <c r="D3" s="14"/>
      <c r="E3" s="23" t="s">
        <v>91</v>
      </c>
      <c r="F3" s="24"/>
      <c r="G3" s="14"/>
      <c r="H3" s="29" t="s">
        <v>92</v>
      </c>
      <c r="I3" s="30"/>
      <c r="J3" s="14"/>
      <c r="K3" s="25" t="s">
        <v>93</v>
      </c>
      <c r="L3" s="26"/>
      <c r="M3" s="14"/>
    </row>
    <row r="4" spans="1:13" ht="35" customHeight="1" x14ac:dyDescent="0.2">
      <c r="A4" s="14"/>
      <c r="B4" s="22">
        <f>SUBTOTAL(109,Nomina_Empleados[Sueldo])</f>
        <v>5801080.1000000043</v>
      </c>
      <c r="C4" s="21"/>
      <c r="D4" s="14"/>
      <c r="E4" s="31">
        <f>SUBTOTAL(109,Nomina_Empleados[ISR])+SUBTOTAL(109,Nomina_Empleados[IMSS])</f>
        <v>972540.55999999971</v>
      </c>
      <c r="F4" s="21"/>
      <c r="G4" s="14"/>
      <c r="H4" s="35">
        <f>SUBTOTAL(109,Nomina_Empleados[ISR])</f>
        <v>811560.5699999996</v>
      </c>
      <c r="I4" s="21"/>
      <c r="J4" s="14"/>
      <c r="K4" s="20" t="s">
        <v>94</v>
      </c>
      <c r="L4" s="21"/>
      <c r="M4" s="14"/>
    </row>
    <row r="5" spans="1:13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A7" s="32" t="s">
        <v>95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4"/>
    </row>
    <row r="8" spans="1:13" x14ac:dyDescent="0.2">
      <c r="A8" s="2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4"/>
    </row>
    <row r="9" spans="1:13" x14ac:dyDescent="0.2">
      <c r="A9" s="28" t="s">
        <v>96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4"/>
    </row>
    <row r="10" spans="1:13" x14ac:dyDescent="0.2">
      <c r="A10" s="28" t="s">
        <v>97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4"/>
    </row>
    <row r="11" spans="1:13" x14ac:dyDescent="0.2">
      <c r="A11" s="28" t="s">
        <v>98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4"/>
    </row>
    <row r="12" spans="1:13" x14ac:dyDescent="0.2">
      <c r="A12" s="28" t="s">
        <v>99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4"/>
    </row>
    <row r="13" spans="1:13" x14ac:dyDescent="0.2">
      <c r="A13" s="28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4"/>
    </row>
    <row r="14" spans="1:13" x14ac:dyDescent="0.2">
      <c r="A14" s="28" t="s">
        <v>100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4"/>
    </row>
    <row r="15" spans="1:13" x14ac:dyDescent="0.2">
      <c r="A15" s="28" t="s">
        <v>101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4"/>
    </row>
    <row r="16" spans="1:13" x14ac:dyDescent="0.2">
      <c r="A16" s="28" t="s">
        <v>102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4"/>
    </row>
    <row r="17" spans="1:13" x14ac:dyDescent="0.2">
      <c r="A17" s="28" t="s">
        <v>103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4"/>
    </row>
    <row r="18" spans="1:13" x14ac:dyDescent="0.2">
      <c r="A18" s="28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4"/>
    </row>
    <row r="19" spans="1:13" x14ac:dyDescent="0.2">
      <c r="A19" s="28" t="s">
        <v>104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4"/>
    </row>
    <row r="20" spans="1:13" x14ac:dyDescent="0.2">
      <c r="A20" s="28" t="s">
        <v>105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4"/>
    </row>
    <row r="21" spans="1:13" x14ac:dyDescent="0.2">
      <c r="A21" s="28" t="s">
        <v>106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4"/>
    </row>
    <row r="22" spans="1:13" x14ac:dyDescent="0.2">
      <c r="A22" s="28" t="s">
        <v>107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4"/>
    </row>
    <row r="23" spans="1:13" x14ac:dyDescent="0.2">
      <c r="A23" s="2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4"/>
    </row>
    <row r="24" spans="1:13" x14ac:dyDescent="0.2">
      <c r="A24" s="28" t="s">
        <v>108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4"/>
    </row>
    <row r="25" spans="1:13" x14ac:dyDescent="0.2">
      <c r="A25" s="28" t="s">
        <v>109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4"/>
    </row>
    <row r="26" spans="1:13" x14ac:dyDescent="0.2">
      <c r="A26" s="28" t="s">
        <v>110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4"/>
    </row>
    <row r="27" spans="1:13" x14ac:dyDescent="0.2">
      <c r="A27" s="2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4"/>
    </row>
    <row r="28" spans="1:13" x14ac:dyDescent="0.2">
      <c r="A28" s="28" t="s">
        <v>111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4"/>
    </row>
    <row r="29" spans="1:13" x14ac:dyDescent="0.2">
      <c r="A29" s="28" t="s">
        <v>112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4"/>
    </row>
    <row r="30" spans="1:13" x14ac:dyDescent="0.2">
      <c r="A30" s="27" t="s">
        <v>113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3" x14ac:dyDescent="0.2">
      <c r="A31" s="27" t="s">
        <v>114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</sheetData>
  <mergeCells count="34">
    <mergeCell ref="A7:L7"/>
    <mergeCell ref="A25:L25"/>
    <mergeCell ref="B3:C3"/>
    <mergeCell ref="H4:I4"/>
    <mergeCell ref="A18:L18"/>
    <mergeCell ref="A23:L23"/>
    <mergeCell ref="A8:L8"/>
    <mergeCell ref="A14:L14"/>
    <mergeCell ref="A22:L22"/>
    <mergeCell ref="A17:L17"/>
    <mergeCell ref="A20:L20"/>
    <mergeCell ref="A16:L16"/>
    <mergeCell ref="A31:L31"/>
    <mergeCell ref="A9:L9"/>
    <mergeCell ref="H3:I3"/>
    <mergeCell ref="A24:L24"/>
    <mergeCell ref="A30:L30"/>
    <mergeCell ref="A15:L15"/>
    <mergeCell ref="A11:L11"/>
    <mergeCell ref="A29:L29"/>
    <mergeCell ref="A10:L10"/>
    <mergeCell ref="A19:L19"/>
    <mergeCell ref="A28:L28"/>
    <mergeCell ref="A13:L13"/>
    <mergeCell ref="A27:L27"/>
    <mergeCell ref="A21:L21"/>
    <mergeCell ref="A12:L12"/>
    <mergeCell ref="A26:L26"/>
    <mergeCell ref="A1:L1"/>
    <mergeCell ref="K4:L4"/>
    <mergeCell ref="B4:C4"/>
    <mergeCell ref="E3:F3"/>
    <mergeCell ref="K3:L3"/>
    <mergeCell ref="E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sqref="A1:H1"/>
    </sheetView>
  </sheetViews>
  <sheetFormatPr baseColWidth="10" defaultColWidth="9.1640625" defaultRowHeight="15" x14ac:dyDescent="0.2"/>
  <cols>
    <col min="1" max="1" width="5" customWidth="1"/>
    <col min="2" max="2" width="80" customWidth="1"/>
  </cols>
  <sheetData>
    <row r="1" spans="1:8" ht="30" customHeight="1" x14ac:dyDescent="0.2">
      <c r="A1" s="16" t="s">
        <v>115</v>
      </c>
      <c r="B1" s="17"/>
      <c r="C1" s="17"/>
      <c r="D1" s="17"/>
      <c r="E1" s="17"/>
      <c r="F1" s="17"/>
      <c r="G1" s="17"/>
      <c r="H1" s="17"/>
    </row>
    <row r="3" spans="1:8" ht="30" customHeight="1" x14ac:dyDescent="0.2">
      <c r="A3" s="15">
        <v>1</v>
      </c>
      <c r="B3" s="36" t="s">
        <v>116</v>
      </c>
      <c r="C3" s="17"/>
      <c r="D3" s="17"/>
      <c r="E3" s="17"/>
      <c r="F3" s="17"/>
      <c r="G3" s="17"/>
      <c r="H3" s="17"/>
    </row>
    <row r="4" spans="1:8" ht="36" customHeight="1" x14ac:dyDescent="0.2">
      <c r="A4" s="15">
        <v>2</v>
      </c>
      <c r="B4" s="36" t="s">
        <v>117</v>
      </c>
      <c r="C4" s="17"/>
      <c r="D4" s="17"/>
      <c r="E4" s="17"/>
      <c r="F4" s="17"/>
      <c r="G4" s="17"/>
      <c r="H4" s="17"/>
    </row>
    <row r="5" spans="1:8" ht="32" customHeight="1" x14ac:dyDescent="0.2">
      <c r="A5" s="15">
        <v>3</v>
      </c>
      <c r="B5" s="36" t="s">
        <v>118</v>
      </c>
      <c r="C5" s="17"/>
      <c r="D5" s="17"/>
      <c r="E5" s="17"/>
      <c r="F5" s="17"/>
      <c r="G5" s="17"/>
      <c r="H5" s="17"/>
    </row>
    <row r="6" spans="1:8" ht="32" customHeight="1" x14ac:dyDescent="0.2">
      <c r="A6" s="15">
        <v>4</v>
      </c>
      <c r="B6" s="36" t="s">
        <v>119</v>
      </c>
      <c r="C6" s="17"/>
      <c r="D6" s="17"/>
      <c r="E6" s="17"/>
      <c r="F6" s="17"/>
      <c r="G6" s="17"/>
      <c r="H6" s="17"/>
    </row>
    <row r="7" spans="1:8" ht="31" customHeight="1" x14ac:dyDescent="0.2">
      <c r="A7" s="15">
        <v>5</v>
      </c>
      <c r="B7" s="36" t="s">
        <v>120</v>
      </c>
      <c r="C7" s="17"/>
      <c r="D7" s="17"/>
      <c r="E7" s="17"/>
      <c r="F7" s="17"/>
      <c r="G7" s="17"/>
      <c r="H7" s="17"/>
    </row>
    <row r="8" spans="1:8" ht="30" customHeight="1" x14ac:dyDescent="0.2">
      <c r="A8" s="15">
        <v>6</v>
      </c>
      <c r="B8" s="36" t="s">
        <v>121</v>
      </c>
      <c r="C8" s="17"/>
      <c r="D8" s="17"/>
      <c r="E8" s="17"/>
      <c r="F8" s="17"/>
      <c r="G8" s="17"/>
      <c r="H8" s="17"/>
    </row>
    <row r="9" spans="1:8" ht="30" customHeight="1" x14ac:dyDescent="0.2">
      <c r="A9" s="15">
        <v>7</v>
      </c>
      <c r="B9" s="36" t="s">
        <v>122</v>
      </c>
      <c r="C9" s="17"/>
      <c r="D9" s="17"/>
      <c r="E9" s="17"/>
      <c r="F9" s="17"/>
      <c r="G9" s="17"/>
      <c r="H9" s="17"/>
    </row>
    <row r="10" spans="1:8" ht="30" customHeight="1" x14ac:dyDescent="0.2">
      <c r="A10" s="15">
        <v>8</v>
      </c>
      <c r="B10" s="36" t="s">
        <v>123</v>
      </c>
      <c r="C10" s="17"/>
      <c r="D10" s="17"/>
      <c r="E10" s="17"/>
      <c r="F10" s="17"/>
      <c r="G10" s="17"/>
      <c r="H10" s="17"/>
    </row>
    <row r="11" spans="1:8" ht="30" customHeight="1" x14ac:dyDescent="0.2">
      <c r="A11" s="15">
        <v>9</v>
      </c>
      <c r="B11" s="36" t="s">
        <v>124</v>
      </c>
      <c r="C11" s="17"/>
      <c r="D11" s="17"/>
      <c r="E11" s="17"/>
      <c r="F11" s="17"/>
      <c r="G11" s="17"/>
      <c r="H11" s="17"/>
    </row>
    <row r="12" spans="1:8" ht="30" customHeight="1" x14ac:dyDescent="0.2">
      <c r="A12" s="15">
        <v>10</v>
      </c>
      <c r="B12" s="36" t="s">
        <v>125</v>
      </c>
      <c r="C12" s="17"/>
      <c r="D12" s="17"/>
      <c r="E12" s="17"/>
      <c r="F12" s="17"/>
      <c r="G12" s="17"/>
      <c r="H12" s="17"/>
    </row>
  </sheetData>
  <mergeCells count="11">
    <mergeCell ref="B12:H12"/>
    <mergeCell ref="B6:H6"/>
    <mergeCell ref="B7:H7"/>
    <mergeCell ref="A1:H1"/>
    <mergeCell ref="B10:H10"/>
    <mergeCell ref="B3:H3"/>
    <mergeCell ref="B5:H5"/>
    <mergeCell ref="B11:H11"/>
    <mergeCell ref="B8:H8"/>
    <mergeCell ref="B9:H9"/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Datos_Nomina</vt:lpstr>
      <vt:lpstr>Tarifa_ISR</vt:lpstr>
      <vt:lpstr>Calculadora</vt:lpstr>
      <vt:lpstr>Dashboard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Castro</cp:lastModifiedBy>
  <dcterms:created xsi:type="dcterms:W3CDTF">2026-02-21T23:39:35Z</dcterms:created>
  <dcterms:modified xsi:type="dcterms:W3CDTF">2026-02-24T09:35:01Z</dcterms:modified>
</cp:coreProperties>
</file>