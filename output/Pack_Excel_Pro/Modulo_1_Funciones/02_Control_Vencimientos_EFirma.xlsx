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_EFirma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5">
    <font>
      <name val="Calibri"/>
      <family val="2"/>
      <color theme="1"/>
      <sz val="11"/>
      <scheme val="minor"/>
    </font>
    <font>
      <name val="Calibri"/>
      <b val="1"/>
      <color rgb="002563EB"/>
      <sz val="14"/>
    </font>
    <font>
      <name val="Calibri"/>
      <color rgb="00475569"/>
      <sz val="9"/>
    </font>
    <font>
      <name val="Calibri"/>
      <b val="1"/>
      <color rgb="00FFFFFF"/>
      <sz val="11"/>
    </font>
    <font>
      <name val="Calibri"/>
      <color rgb="001E293B"/>
      <sz val="11"/>
    </font>
  </fonts>
  <fills count="4">
    <fill>
      <patternFill/>
    </fill>
    <fill>
      <patternFill patternType="gray125"/>
    </fill>
    <fill>
      <patternFill patternType="solid">
        <fgColor rgb="002563EB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165" fontId="4" fillId="3" borderId="1" applyAlignment="1" pivotButton="0" quotePrefix="0" xfId="0">
      <alignment horizontal="center" vertical="center" wrapText="1"/>
    </xf>
    <xf numFmtId="1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5" fontId="4" fillId="0" borderId="1" applyAlignment="1" pivotButton="0" quotePrefix="0" xfId="0">
      <alignment horizontal="center" vertical="center" wrapText="1"/>
    </xf>
    <xf numFmtId="1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dxfs count="3">
    <dxf>
      <font>
        <color rgb="00006100"/>
      </font>
      <fill>
        <patternFill patternType="solid">
          <fgColor rgb="00C6EFCE"/>
        </patternFill>
      </fill>
    </dxf>
    <dxf>
      <font>
        <color rgb="009C6500"/>
      </font>
      <fill>
        <patternFill patternType="solid">
          <fgColor rgb="00FFEB9C"/>
        </patternFill>
      </fill>
    </dxf>
    <dxf>
      <font>
        <color rgb="009C0006"/>
      </font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45" customWidth="1" min="1" max="1"/>
    <col width="16" customWidth="1" min="2" max="2"/>
    <col width="16" customWidth="1" min="3" max="3"/>
    <col width="18" customWidth="1" min="4" max="4"/>
    <col width="16" customWidth="1" min="5" max="5"/>
    <col width="16" customWidth="1" min="6" max="6"/>
    <col width="25" customWidth="1" min="7" max="7"/>
  </cols>
  <sheetData>
    <row r="1">
      <c r="A1" s="1" t="inlineStr">
        <is>
          <t>Control de Vencimiento de e.firma (Firma Electrónica)</t>
        </is>
      </c>
    </row>
    <row r="2">
      <c r="A2" s="2" t="inlineStr">
        <is>
          <t>Monitorea la vigencia de la e.firma de tus clientes con funciones SI, HOY y aritmética de fechas.</t>
        </is>
      </c>
    </row>
    <row r="3"/>
    <row r="4">
      <c r="A4" s="3" t="inlineStr">
        <is>
          <t>Empresa</t>
        </is>
      </c>
      <c r="B4" s="3" t="inlineStr">
        <is>
          <t>RFC</t>
        </is>
      </c>
      <c r="C4" s="3" t="inlineStr">
        <is>
          <t>Fecha Emisión</t>
        </is>
      </c>
      <c r="D4" s="3" t="inlineStr">
        <is>
          <t>Fecha Vencimiento</t>
        </is>
      </c>
      <c r="E4" s="3" t="inlineStr">
        <is>
          <t>Días Restantes</t>
        </is>
      </c>
      <c r="F4" s="3" t="inlineStr">
        <is>
          <t>Estatus</t>
        </is>
      </c>
      <c r="G4" s="3" t="inlineStr">
        <is>
          <t>Observaciones</t>
        </is>
      </c>
    </row>
    <row r="5">
      <c r="A5" s="4" t="inlineStr">
        <is>
          <t>Comercializadora del Norte SA de CV</t>
        </is>
      </c>
      <c r="B5" s="4" t="inlineStr">
        <is>
          <t>CNO850315XX1</t>
        </is>
      </c>
      <c r="C5" s="5" t="n">
        <v>45646</v>
      </c>
      <c r="D5" s="5" t="n">
        <v>46376</v>
      </c>
      <c r="E5" s="6">
        <f>D5-TODAY()</f>
        <v/>
      </c>
      <c r="F5" s="7">
        <f>IF(E5&gt;90,"VIGENTE",IF(E5&gt;0,"POR CADUCAR","CADUCADA"))</f>
        <v/>
      </c>
      <c r="G5" s="4" t="inlineStr"/>
    </row>
    <row r="6">
      <c r="A6" s="8" t="inlineStr">
        <is>
          <t>Grupo Contable Torres SC</t>
        </is>
      </c>
      <c r="B6" s="8" t="inlineStr">
        <is>
          <t>GCT920801KL3</t>
        </is>
      </c>
      <c r="C6" s="9" t="n">
        <v>45311</v>
      </c>
      <c r="D6" s="9" t="n">
        <v>46041</v>
      </c>
      <c r="E6" s="10">
        <f>D6-TODAY()</f>
        <v/>
      </c>
      <c r="F6" s="11">
        <f>IF(E6&gt;90,"VIGENTE",IF(E6&gt;0,"POR CADUCAR","CADUCADA"))</f>
        <v/>
      </c>
      <c r="G6" s="8" t="inlineStr"/>
    </row>
    <row r="7">
      <c r="A7" s="4" t="inlineStr">
        <is>
          <t>Distribuidora Azteca SA de CV</t>
        </is>
      </c>
      <c r="B7" s="4" t="inlineStr">
        <is>
          <t>DAZ100512M45</t>
        </is>
      </c>
      <c r="C7" s="5" t="n">
        <v>45417</v>
      </c>
      <c r="D7" s="5" t="n">
        <v>46147</v>
      </c>
      <c r="E7" s="6">
        <f>D7-TODAY()</f>
        <v/>
      </c>
      <c r="F7" s="7">
        <f>IF(E7&gt;90,"VIGENTE",IF(E7&gt;0,"POR CADUCAR","CADUCADA"))</f>
        <v/>
      </c>
      <c r="G7" s="4" t="inlineStr"/>
    </row>
    <row r="8">
      <c r="A8" s="8" t="inlineStr">
        <is>
          <t>Servicios Administrativos Mora SC</t>
        </is>
      </c>
      <c r="B8" s="8" t="inlineStr">
        <is>
          <t>SAM880620PQ2</t>
        </is>
      </c>
      <c r="C8" s="9" t="n">
        <v>45665</v>
      </c>
      <c r="D8" s="9" t="n">
        <v>46395</v>
      </c>
      <c r="E8" s="10">
        <f>D8-TODAY()</f>
        <v/>
      </c>
      <c r="F8" s="11">
        <f>IF(E8&gt;90,"VIGENTE",IF(E8&gt;0,"POR CADUCAR","CADUCADA"))</f>
        <v/>
      </c>
      <c r="G8" s="8" t="inlineStr"/>
    </row>
    <row r="9">
      <c r="A9" s="4" t="inlineStr">
        <is>
          <t>Industrias Metalúrgicas del Bajío SA</t>
        </is>
      </c>
      <c r="B9" s="4" t="inlineStr">
        <is>
          <t>IMB760910RS7</t>
        </is>
      </c>
      <c r="C9" s="5" t="n">
        <v>45010</v>
      </c>
      <c r="D9" s="5" t="n">
        <v>45740</v>
      </c>
      <c r="E9" s="6">
        <f>D9-TODAY()</f>
        <v/>
      </c>
      <c r="F9" s="7">
        <f>IF(E9&gt;90,"VIGENTE",IF(E9&gt;0,"POR CADUCAR","CADUCADA"))</f>
        <v/>
      </c>
      <c r="G9" s="4" t="inlineStr"/>
    </row>
    <row r="10">
      <c r="A10" s="8" t="inlineStr">
        <is>
          <t>Consultores Fiscales Hernández SC</t>
        </is>
      </c>
      <c r="B10" s="8" t="inlineStr">
        <is>
          <t>CFH051103TU8</t>
        </is>
      </c>
      <c r="C10" s="9" t="n">
        <v>45813</v>
      </c>
      <c r="D10" s="9" t="n">
        <v>46543</v>
      </c>
      <c r="E10" s="10">
        <f>D10-TODAY()</f>
        <v/>
      </c>
      <c r="F10" s="11">
        <f>IF(E10&gt;90,"VIGENTE",IF(E10&gt;0,"POR CADUCAR","CADUCADA"))</f>
        <v/>
      </c>
      <c r="G10" s="8" t="inlineStr"/>
    </row>
    <row r="11">
      <c r="A11" s="4" t="inlineStr">
        <is>
          <t>Transportes y Logística Reyes SA de CV</t>
        </is>
      </c>
      <c r="B11" s="4" t="inlineStr">
        <is>
          <t>TLR110215VW9</t>
        </is>
      </c>
      <c r="C11" s="5" t="n">
        <v>45427</v>
      </c>
      <c r="D11" s="5" t="n">
        <v>46157</v>
      </c>
      <c r="E11" s="6">
        <f>D11-TODAY()</f>
        <v/>
      </c>
      <c r="F11" s="7">
        <f>IF(E11&gt;90,"VIGENTE",IF(E11&gt;0,"POR CADUCAR","CADUCADA"))</f>
        <v/>
      </c>
      <c r="G11" s="4" t="inlineStr"/>
    </row>
    <row r="12">
      <c r="A12" s="8" t="inlineStr">
        <is>
          <t>Farmacia Santa Cruz SA de CV</t>
        </is>
      </c>
      <c r="B12" s="8" t="inlineStr">
        <is>
          <t>FSC990430XY0</t>
        </is>
      </c>
      <c r="C12" s="9" t="n">
        <v>44840</v>
      </c>
      <c r="D12" s="9" t="n">
        <v>45570</v>
      </c>
      <c r="E12" s="10">
        <f>D12-TODAY()</f>
        <v/>
      </c>
      <c r="F12" s="11">
        <f>IF(E12&gt;90,"VIGENTE",IF(E12&gt;0,"POR CADUCAR","CADUCADA"))</f>
        <v/>
      </c>
      <c r="G12" s="8" t="inlineStr"/>
    </row>
    <row r="13">
      <c r="A13" s="4" t="inlineStr">
        <is>
          <t>Constructora e Inmobiliaria Vega SA</t>
        </is>
      </c>
      <c r="B13" s="4" t="inlineStr">
        <is>
          <t>CIV070817ZA1</t>
        </is>
      </c>
      <c r="C13" s="5" t="n">
        <v>44725</v>
      </c>
      <c r="D13" s="5" t="n">
        <v>45455</v>
      </c>
      <c r="E13" s="6">
        <f>D13-TODAY()</f>
        <v/>
      </c>
      <c r="F13" s="7">
        <f>IF(E13&gt;90,"VIGENTE",IF(E13&gt;0,"POR CADUCAR","CADUCADA"))</f>
        <v/>
      </c>
      <c r="G13" s="4" t="inlineStr"/>
    </row>
    <row r="14">
      <c r="A14" s="8" t="inlineStr">
        <is>
          <t>Despacho Contable Martínez y Asociados</t>
        </is>
      </c>
      <c r="B14" s="8" t="inlineStr">
        <is>
          <t>DCM130225BC4</t>
        </is>
      </c>
      <c r="C14" s="9" t="n">
        <v>44758</v>
      </c>
      <c r="D14" s="9" t="n">
        <v>46218</v>
      </c>
      <c r="E14" s="10">
        <f>D14-TODAY()</f>
        <v/>
      </c>
      <c r="F14" s="11">
        <f>IF(E14&gt;90,"VIGENTE",IF(E14&gt;0,"POR CADUCAR","CADUCADA"))</f>
        <v/>
      </c>
      <c r="G14" s="8" t="inlineStr"/>
    </row>
  </sheetData>
  <mergeCells count="1">
    <mergeCell ref="A1:G1"/>
  </mergeCells>
  <conditionalFormatting sqref="F5:F14">
    <cfRule type="cellIs" priority="1" operator="equal" dxfId="0">
      <formula>"VIGENTE"</formula>
    </cfRule>
    <cfRule type="cellIs" priority="2" operator="equal" dxfId="1">
      <formula>"POR CADUCAR"</formula>
    </cfRule>
    <cfRule type="cellIs" priority="3" operator="equal" dxfId="2">
      <formula>"CADUCADA"</formula>
    </cfRule>
  </conditionalFormatting>
  <conditionalFormatting sqref="E5:E14">
    <cfRule type="cellIs" priority="4" operator="greaterThan" dxfId="0">
      <formula>90</formula>
    </cfRule>
    <cfRule type="cellIs" priority="5" operator="between" dxfId="1">
      <formula>1</formula>
      <formula>90</formula>
    </cfRule>
    <cfRule type="cellIs" priority="6" operator="lessThanOrEqual" dxfId="2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5" customWidth="1" min="1" max="1"/>
    <col width="80" customWidth="1" min="2" max="2"/>
  </cols>
  <sheetData>
    <row r="1" ht="30" customHeight="1">
      <c r="A1" s="1" t="inlineStr">
        <is>
          <t>📋 Instrucciones</t>
        </is>
      </c>
    </row>
    <row r="3" ht="30" customHeight="1">
      <c r="A3" s="12" t="n">
        <v>1</v>
      </c>
      <c r="B3" s="13" t="inlineStr">
        <is>
          <t>Este archivo monitorea la vigencia de la e.firma (firma electrónica) del SAT.</t>
        </is>
      </c>
    </row>
    <row r="4" ht="30" customHeight="1">
      <c r="A4" s="12" t="n">
        <v>2</v>
      </c>
      <c r="B4" s="13" t="inlineStr">
        <is>
          <t>La columna 'Días Restantes' usa la fórmula: =FechaVencimiento - HOY()</t>
        </is>
      </c>
    </row>
    <row r="5" ht="32" customHeight="1">
      <c r="A5" s="12" t="n">
        <v>3</v>
      </c>
      <c r="B5" s="13" t="inlineStr">
        <is>
          <t>La columna 'Estatus' usa SI anidado: SI(días&gt;90, 'VIGENTE', SI(días&gt;0, 'POR CADUCAR', 'CADUCADA'))</t>
        </is>
      </c>
    </row>
    <row r="6" ht="30" customHeight="1">
      <c r="A6" s="12" t="n">
        <v>4</v>
      </c>
      <c r="B6" s="13" t="inlineStr">
        <is>
          <t>Los colores del semáforo se aplican con Formato Condicional automático.</t>
        </is>
      </c>
    </row>
    <row r="7" ht="30" customHeight="1">
      <c r="A7" s="12" t="n">
        <v>5</v>
      </c>
      <c r="B7" s="13" t="inlineStr">
        <is>
          <t>Verde = VIGENTE (más de 90 días), Amarillo = POR CADUCAR (1-90 días), Rojo = CADUCADA.</t>
        </is>
      </c>
    </row>
    <row r="8" ht="30" customHeight="1">
      <c r="A8" s="12" t="n">
        <v>6</v>
      </c>
      <c r="B8" s="13" t="inlineStr">
        <is>
          <t>Agrega tus propios clientes en las filas siguientes y copia las fórmulas.</t>
        </is>
      </c>
    </row>
    <row r="9" ht="30" customHeight="1">
      <c r="A9" s="12" t="n">
        <v>7</v>
      </c>
      <c r="B9" s="13" t="inlineStr">
        <is>
          <t>La función HOY() se actualiza cada vez que abres el archivo — siempre ves datos al día.</t>
        </is>
      </c>
    </row>
  </sheetData>
  <mergeCells count="8">
    <mergeCell ref="B8:H8"/>
    <mergeCell ref="B9:H9"/>
    <mergeCell ref="B4:H4"/>
    <mergeCell ref="B6:H6"/>
    <mergeCell ref="B7:H7"/>
    <mergeCell ref="A1:H1"/>
    <mergeCell ref="B3:H3"/>
    <mergeCell ref="B5:H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2026-02-21T23:29:11Z</dcterms:created>
  <dcterms:modified xmlns:dcterms="http://purl.org/dc/terms/" xmlns:xsi="http://www.w3.org/2001/XMLSchema-instance" xsi:type="dcterms:W3CDTF">2026-02-21T23:29:11Z</dcterms:modified>
</cp:coreProperties>
</file>