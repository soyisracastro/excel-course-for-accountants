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rifa_Anual_2026" sheetId="1" state="visible" r:id="rId1"/>
    <sheet xmlns:r="http://schemas.openxmlformats.org/officeDocument/2006/relationships" name="Tarifa_Mensual_2026" sheetId="2" state="visible" r:id="rId2"/>
    <sheet xmlns:r="http://schemas.openxmlformats.org/officeDocument/2006/relationships" name="Calculadora_ISR" sheetId="3" state="visible" r:id="rId3"/>
    <sheet xmlns:r="http://schemas.openxmlformats.org/officeDocument/2006/relationships" name="Actualizacion_CFF" sheetId="4" state="visible" r:id="rId4"/>
    <sheet xmlns:r="http://schemas.openxmlformats.org/officeDocument/2006/relationships" name="Ejercicios" sheetId="5" state="visible" r:id="rId5"/>
    <sheet xmlns:r="http://schemas.openxmlformats.org/officeDocument/2006/relationships" name="Instruccion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00"/>
    <numFmt numFmtId="165" formatCode="#,##0.0000"/>
  </numFmts>
  <fonts count="6">
    <font>
      <name val="Calibri"/>
      <family val="2"/>
      <color theme="1"/>
      <sz val="11"/>
      <scheme val="minor"/>
    </font>
    <font>
      <name val="Calibri"/>
      <b val="1"/>
      <color rgb="002563EB"/>
      <sz val="14"/>
    </font>
    <font>
      <name val="Calibri"/>
      <b val="1"/>
      <color rgb="00FFFFFF"/>
      <sz val="11"/>
    </font>
    <font>
      <name val="Calibri"/>
      <color rgb="001E293B"/>
      <sz val="11"/>
    </font>
    <font>
      <name val="Calibri"/>
      <color rgb="00475569"/>
      <sz val="9"/>
    </font>
    <font>
      <name val="Calibri"/>
      <b val="1"/>
      <color rgb="001E293B"/>
      <sz val="12"/>
    </font>
  </fonts>
  <fills count="6">
    <fill>
      <patternFill/>
    </fill>
    <fill>
      <patternFill patternType="gray125"/>
    </fill>
    <fill>
      <patternFill patternType="solid">
        <fgColor rgb="002563EB"/>
      </patternFill>
    </fill>
    <fill>
      <patternFill patternType="solid">
        <fgColor rgb="00F8FAFC"/>
      </patternFill>
    </fill>
    <fill>
      <patternFill patternType="solid">
        <fgColor rgb="00F59E0B"/>
      </patternFill>
    </fill>
    <fill>
      <patternFill patternType="solid">
        <fgColor rgb="0010B981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2" fillId="2" borderId="1" applyAlignment="1" pivotButton="0" quotePrefix="0" xfId="0">
      <alignment horizontal="center" vertical="center" wrapText="1"/>
    </xf>
    <xf numFmtId="4" fontId="3" fillId="3" borderId="1" applyAlignment="1" pivotButton="0" quotePrefix="0" xfId="0">
      <alignment horizontal="right" vertical="center"/>
    </xf>
    <xf numFmtId="10" fontId="3" fillId="3" borderId="1" applyAlignment="1" pivotButton="0" quotePrefix="0" xfId="0">
      <alignment horizontal="right" vertical="center"/>
    </xf>
    <xf numFmtId="4" fontId="3" fillId="0" borderId="1" applyAlignment="1" pivotButton="0" quotePrefix="0" xfId="0">
      <alignment horizontal="right" vertical="center"/>
    </xf>
    <xf numFmtId="10" fontId="3" fillId="0" borderId="1" applyAlignment="1" pivotButton="0" quotePrefix="0" xfId="0">
      <alignment horizontal="right" vertical="center"/>
    </xf>
    <xf numFmtId="0" fontId="4" fillId="0" borderId="0" pivotButton="0" quotePrefix="0" xfId="0"/>
    <xf numFmtId="0" fontId="3" fillId="0" borderId="1" pivotButton="0" quotePrefix="0" xfId="0"/>
    <xf numFmtId="4" fontId="5" fillId="4" borderId="1" applyAlignment="1" pivotButton="0" quotePrefix="0" xfId="0">
      <alignment horizontal="right" vertical="center"/>
    </xf>
    <xf numFmtId="4" fontId="0" fillId="0" borderId="1" applyAlignment="1" pivotButton="0" quotePrefix="0" xfId="0">
      <alignment horizontal="right" vertical="center"/>
    </xf>
    <xf numFmtId="10" fontId="0" fillId="0" borderId="1" applyAlignment="1" pivotButton="0" quotePrefix="0" xfId="0">
      <alignment horizontal="right" vertical="center"/>
    </xf>
    <xf numFmtId="4" fontId="5" fillId="5" borderId="1" applyAlignment="1" pivotButton="0" quotePrefix="0" xfId="0">
      <alignment horizontal="right" vertical="center"/>
    </xf>
    <xf numFmtId="0" fontId="0" fillId="0" borderId="1" pivotButton="0" quotePrefix="0" xfId="0"/>
    <xf numFmtId="164" fontId="0" fillId="0" borderId="1" pivotButton="0" quotePrefix="0" xfId="0"/>
    <xf numFmtId="165" fontId="0" fillId="5" borderId="1" pivotButton="0" quotePrefix="0" xfId="0"/>
    <xf numFmtId="4" fontId="0" fillId="4" borderId="1" pivotButton="0" quotePrefix="0" xfId="0"/>
    <xf numFmtId="4" fontId="0" fillId="5" borderId="1" pivotButton="0" quotePrefix="0" xfId="0"/>
    <xf numFmtId="0" fontId="3" fillId="3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ables/table1.xml><?xml version="1.0" encoding="utf-8"?>
<table xmlns="http://schemas.openxmlformats.org/spreadsheetml/2006/main" id="1" name="Tarifa_Anual_2026" displayName="Tarifa_Anual_2026" ref="A3:D14" headerRowCount="1">
  <autoFilter ref="A3:D14"/>
  <tableColumns count="4">
    <tableColumn id="1" name="Límite Inferior"/>
    <tableColumn id="2" name="Límite Superior"/>
    <tableColumn id="3" name="Cuota Fija"/>
    <tableColumn id="4" name="% Sobre Excedente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2" name="Tarifa_Mensual_2026" displayName="Tarifa_Mensual_2026" ref="A3:D14" headerRowCount="1">
  <autoFilter ref="A3:D14"/>
  <tableColumns count="4">
    <tableColumn id="1" name="Límite Inferior"/>
    <tableColumn id="2" name="Límite Superior"/>
    <tableColumn id="3" name="Cuota Fija"/>
    <tableColumn id="4" name="% Sobre Excedent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40" customWidth="1" min="1" max="1"/>
    <col width="17" customWidth="1" min="2" max="2"/>
    <col width="12" customWidth="1" min="3" max="3"/>
    <col width="21" customWidth="1" min="4" max="4"/>
    <col width="10" customWidth="1" min="5" max="5"/>
    <col width="10" customWidth="1" min="6" max="6"/>
  </cols>
  <sheetData>
    <row r="1">
      <c r="A1" s="1" t="inlineStr">
        <is>
          <t>Tarifa ISR Anual 2026 — Art. 152 LISR (Anexo 8 RMF)</t>
        </is>
      </c>
    </row>
    <row r="2"/>
    <row r="3">
      <c r="A3" s="2" t="inlineStr">
        <is>
          <t>Límite Inferior</t>
        </is>
      </c>
      <c r="B3" s="2" t="inlineStr">
        <is>
          <t>Límite Superior</t>
        </is>
      </c>
      <c r="C3" s="2" t="inlineStr">
        <is>
          <t>Cuota Fija</t>
        </is>
      </c>
      <c r="D3" s="2" t="inlineStr">
        <is>
          <t>% Sobre Excedente</t>
        </is>
      </c>
    </row>
    <row r="4">
      <c r="A4" s="3" t="n">
        <v>0.01</v>
      </c>
      <c r="B4" s="3" t="n">
        <v>10135.11</v>
      </c>
      <c r="C4" s="3" t="n">
        <v>0</v>
      </c>
      <c r="D4" s="4" t="n">
        <v>0.0192</v>
      </c>
    </row>
    <row r="5">
      <c r="A5" s="5" t="n">
        <v>10135.12</v>
      </c>
      <c r="B5" s="5" t="n">
        <v>86022.11</v>
      </c>
      <c r="C5" s="5" t="n">
        <v>194.59</v>
      </c>
      <c r="D5" s="6" t="n">
        <v>0.064</v>
      </c>
    </row>
    <row r="6">
      <c r="A6" s="3" t="n">
        <v>86022.12</v>
      </c>
      <c r="B6" s="3" t="n">
        <v>151176.19</v>
      </c>
      <c r="C6" s="3" t="n">
        <v>5051.37</v>
      </c>
      <c r="D6" s="4" t="n">
        <v>0.1088</v>
      </c>
    </row>
    <row r="7">
      <c r="A7" s="5" t="n">
        <v>151176.2</v>
      </c>
      <c r="B7" s="5" t="n">
        <v>175735.66</v>
      </c>
      <c r="C7" s="5" t="n">
        <v>12140.13</v>
      </c>
      <c r="D7" s="6" t="n">
        <v>0.16</v>
      </c>
    </row>
    <row r="8">
      <c r="A8" s="3" t="n">
        <v>175735.67</v>
      </c>
      <c r="B8" s="3" t="n">
        <v>210403.69</v>
      </c>
      <c r="C8" s="3" t="n">
        <v>16069.64</v>
      </c>
      <c r="D8" s="4" t="n">
        <v>0.1792</v>
      </c>
    </row>
    <row r="9">
      <c r="A9" s="5" t="n">
        <v>210403.7</v>
      </c>
      <c r="B9" s="5" t="n">
        <v>424353.97</v>
      </c>
      <c r="C9" s="5" t="n">
        <v>22282.14</v>
      </c>
      <c r="D9" s="6" t="n">
        <v>0.2136</v>
      </c>
    </row>
    <row r="10">
      <c r="A10" s="3" t="n">
        <v>424353.98</v>
      </c>
      <c r="B10" s="3" t="n">
        <v>668840.14</v>
      </c>
      <c r="C10" s="3" t="n">
        <v>67981.92</v>
      </c>
      <c r="D10" s="4" t="n">
        <v>0.2352</v>
      </c>
    </row>
    <row r="11">
      <c r="A11" s="5" t="n">
        <v>668840.15</v>
      </c>
      <c r="B11" s="5" t="n">
        <v>1276925.98</v>
      </c>
      <c r="C11" s="5" t="n">
        <v>125485.07</v>
      </c>
      <c r="D11" s="6" t="n">
        <v>0.3</v>
      </c>
    </row>
    <row r="12">
      <c r="A12" s="3" t="n">
        <v>1276925.99</v>
      </c>
      <c r="B12" s="3" t="n">
        <v>1702567.97</v>
      </c>
      <c r="C12" s="3" t="n">
        <v>307910.81</v>
      </c>
      <c r="D12" s="4" t="n">
        <v>0.32</v>
      </c>
    </row>
    <row r="13">
      <c r="A13" s="5" t="n">
        <v>1702567.98</v>
      </c>
      <c r="B13" s="5" t="n">
        <v>5107703.92</v>
      </c>
      <c r="C13" s="5" t="n">
        <v>444116.23</v>
      </c>
      <c r="D13" s="6" t="n">
        <v>0.34</v>
      </c>
    </row>
    <row r="14">
      <c r="A14" s="3" t="n">
        <v>5107703.93</v>
      </c>
      <c r="B14" s="3" t="inlineStr">
        <is>
          <t>En adelante</t>
        </is>
      </c>
      <c r="C14" s="3" t="n">
        <v>1601862.46</v>
      </c>
      <c r="D14" s="4" t="n">
        <v>0.35</v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40" customWidth="1" min="1" max="1"/>
    <col width="17" customWidth="1" min="2" max="2"/>
    <col width="12" customWidth="1" min="3" max="3"/>
    <col width="21" customWidth="1" min="4" max="4"/>
    <col width="10" customWidth="1" min="5" max="5"/>
    <col width="10" customWidth="1" min="6" max="6"/>
  </cols>
  <sheetData>
    <row r="1">
      <c r="A1" s="1" t="inlineStr">
        <is>
          <t>Tarifa ISR Mensual 2026 — Art. 96 LISR (Anexo 8 RMF)</t>
        </is>
      </c>
    </row>
    <row r="2"/>
    <row r="3">
      <c r="A3" s="2" t="inlineStr">
        <is>
          <t>Límite Inferior</t>
        </is>
      </c>
      <c r="B3" s="2" t="inlineStr">
        <is>
          <t>Límite Superior</t>
        </is>
      </c>
      <c r="C3" s="2" t="inlineStr">
        <is>
          <t>Cuota Fija</t>
        </is>
      </c>
      <c r="D3" s="2" t="inlineStr">
        <is>
          <t>% Sobre Excedente</t>
        </is>
      </c>
    </row>
    <row r="4">
      <c r="A4" s="3" t="n">
        <v>0.01</v>
      </c>
      <c r="B4" s="3" t="n">
        <v>844.59</v>
      </c>
      <c r="C4" s="3" t="n">
        <v>0</v>
      </c>
      <c r="D4" s="4" t="n">
        <v>0.0192</v>
      </c>
    </row>
    <row r="5">
      <c r="A5" s="5" t="n">
        <v>844.6</v>
      </c>
      <c r="B5" s="5" t="n">
        <v>7168.51</v>
      </c>
      <c r="C5" s="5" t="n">
        <v>16.22</v>
      </c>
      <c r="D5" s="6" t="n">
        <v>0.064</v>
      </c>
    </row>
    <row r="6">
      <c r="A6" s="3" t="n">
        <v>7168.52</v>
      </c>
      <c r="B6" s="3" t="n">
        <v>12598.02</v>
      </c>
      <c r="C6" s="3" t="n">
        <v>420.95</v>
      </c>
      <c r="D6" s="4" t="n">
        <v>0.1088</v>
      </c>
    </row>
    <row r="7">
      <c r="A7" s="5" t="n">
        <v>12598.03</v>
      </c>
      <c r="B7" s="5" t="n">
        <v>14644.64</v>
      </c>
      <c r="C7" s="5" t="n">
        <v>1011.68</v>
      </c>
      <c r="D7" s="6" t="n">
        <v>0.16</v>
      </c>
    </row>
    <row r="8">
      <c r="A8" s="3" t="n">
        <v>14644.65</v>
      </c>
      <c r="B8" s="3" t="n">
        <v>17533.64</v>
      </c>
      <c r="C8" s="3" t="n">
        <v>1339.14</v>
      </c>
      <c r="D8" s="4" t="n">
        <v>0.1792</v>
      </c>
    </row>
    <row r="9">
      <c r="A9" s="5" t="n">
        <v>17533.65</v>
      </c>
      <c r="B9" s="5" t="n">
        <v>35362.83</v>
      </c>
      <c r="C9" s="5" t="n">
        <v>1856.84</v>
      </c>
      <c r="D9" s="6" t="n">
        <v>0.2136</v>
      </c>
    </row>
    <row r="10">
      <c r="A10" s="3" t="n">
        <v>35362.84</v>
      </c>
      <c r="B10" s="3" t="n">
        <v>55736.68</v>
      </c>
      <c r="C10" s="3" t="n">
        <v>5665.16</v>
      </c>
      <c r="D10" s="4" t="n">
        <v>0.2352</v>
      </c>
    </row>
    <row r="11">
      <c r="A11" s="5" t="n">
        <v>55736.69</v>
      </c>
      <c r="B11" s="5" t="n">
        <v>106410.5</v>
      </c>
      <c r="C11" s="5" t="n">
        <v>10457.09</v>
      </c>
      <c r="D11" s="6" t="n">
        <v>0.3</v>
      </c>
    </row>
    <row r="12">
      <c r="A12" s="3" t="n">
        <v>106410.51</v>
      </c>
      <c r="B12" s="3" t="n">
        <v>141880.66</v>
      </c>
      <c r="C12" s="3" t="n">
        <v>25659.23</v>
      </c>
      <c r="D12" s="4" t="n">
        <v>0.32</v>
      </c>
    </row>
    <row r="13">
      <c r="A13" s="5" t="n">
        <v>141880.67</v>
      </c>
      <c r="B13" s="5" t="n">
        <v>425641.99</v>
      </c>
      <c r="C13" s="5" t="n">
        <v>37009.69</v>
      </c>
      <c r="D13" s="6" t="n">
        <v>0.34</v>
      </c>
    </row>
    <row r="14">
      <c r="A14" s="3" t="n">
        <v>425642</v>
      </c>
      <c r="B14" s="3" t="n">
        <v>999999999</v>
      </c>
      <c r="C14" s="3" t="n">
        <v>133488.54</v>
      </c>
      <c r="D14" s="4" t="n">
        <v>0.35</v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50" customWidth="1" min="1" max="1"/>
    <col width="22" customWidth="1" min="2" max="2"/>
    <col width="55" customWidth="1" min="3" max="3"/>
  </cols>
  <sheetData>
    <row r="1">
      <c r="A1" s="1" t="inlineStr">
        <is>
          <t>Calculadora de ISR Anual 2026</t>
        </is>
      </c>
    </row>
    <row r="2">
      <c r="A2" s="7" t="inlineStr">
        <is>
          <t>Ingresa tu base gravable en la celda B4 y observa cómo las fórmulas calculan el ISR automáticamente.</t>
        </is>
      </c>
    </row>
    <row r="4">
      <c r="A4" s="8" t="inlineStr">
        <is>
          <t>Base Gravable (ingreso acumulable - deducciones)</t>
        </is>
      </c>
      <c r="B4" s="9" t="n">
        <v>450000</v>
      </c>
    </row>
    <row r="5">
      <c r="A5" s="8" t="inlineStr">
        <is>
          <t>Límite Inferior (BUSCARV)</t>
        </is>
      </c>
      <c r="B5" s="10">
        <f>VLOOKUP(B4,Tarifa_Anual_2026,1,TRUE)</f>
        <v/>
      </c>
      <c r="C5" s="7" t="inlineStr">
        <is>
          <t>BUSCARV busca el límite inferior que corresponde a tu ingreso</t>
        </is>
      </c>
    </row>
    <row r="6">
      <c r="A6" s="8" t="inlineStr">
        <is>
          <t>Excedente sobre Límite Inferior</t>
        </is>
      </c>
      <c r="B6" s="10">
        <f>B4-B5</f>
        <v/>
      </c>
      <c r="C6" s="7" t="inlineStr">
        <is>
          <t>Tu ingreso menos el límite inferior de tu rango</t>
        </is>
      </c>
    </row>
    <row r="7">
      <c r="A7" s="8" t="inlineStr">
        <is>
          <t>% Sobre Excedente (BUSCARV)</t>
        </is>
      </c>
      <c r="B7" s="11">
        <f>VLOOKUP(B4,Tarifa_Anual_2026,4,TRUE)</f>
        <v/>
      </c>
      <c r="C7" s="7" t="inlineStr">
        <is>
          <t>El porcentaje de impuesto sobre el excedente</t>
        </is>
      </c>
    </row>
    <row r="8">
      <c r="A8" s="8" t="inlineStr">
        <is>
          <t>ISR Marginal</t>
        </is>
      </c>
      <c r="B8" s="10">
        <f>B6*B7</f>
        <v/>
      </c>
      <c r="C8" s="7" t="inlineStr">
        <is>
          <t>Excedente × Porcentaje = ISR marginal</t>
        </is>
      </c>
    </row>
    <row r="9">
      <c r="A9" s="8" t="inlineStr">
        <is>
          <t>Cuota Fija (BUSCARV)</t>
        </is>
      </c>
      <c r="B9" s="10">
        <f>VLOOKUP(B4,Tarifa_Anual_2026,3,TRUE)</f>
        <v/>
      </c>
      <c r="C9" s="7" t="inlineStr">
        <is>
          <t>Cantidad fija que se suma según tu rango</t>
        </is>
      </c>
    </row>
    <row r="10">
      <c r="A10" s="8" t="inlineStr">
        <is>
          <t>ISR del Ejercicio</t>
        </is>
      </c>
      <c r="B10" s="12">
        <f>B8+B9</f>
        <v/>
      </c>
      <c r="C10" s="7" t="inlineStr">
        <is>
          <t>ISR Marginal + Cuota Fija = ISR Total del ejercicio</t>
        </is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45" customWidth="1" min="1" max="1"/>
    <col width="20" customWidth="1" min="2" max="2"/>
    <col width="55" customWidth="1" min="3" max="3"/>
  </cols>
  <sheetData>
    <row r="1">
      <c r="A1" s="1" t="inlineStr">
        <is>
          <t>Factor de Actualización — Art. 17-A CFF</t>
        </is>
      </c>
    </row>
    <row r="2">
      <c r="A2" s="7" t="inlineStr">
        <is>
          <t>El factor se trunca a 4 decimales (diezmilésimo) conforme al CFF.</t>
        </is>
      </c>
    </row>
    <row r="4">
      <c r="A4" s="8" t="inlineStr">
        <is>
          <t>INPC Reciente (Dic 2025)</t>
        </is>
      </c>
      <c r="B4" s="13" t="n">
        <v>141.2</v>
      </c>
    </row>
    <row r="5">
      <c r="A5" s="8" t="inlineStr">
        <is>
          <t>INPC Anterior (Dic 2024)</t>
        </is>
      </c>
      <c r="B5" s="13" t="n">
        <v>136.163</v>
      </c>
    </row>
    <row r="6">
      <c r="A6" s="8" t="inlineStr">
        <is>
          <t>Factor de Actualización (sin truncar)</t>
        </is>
      </c>
      <c r="B6" s="14">
        <f>B4/B5</f>
        <v/>
      </c>
      <c r="C6" s="7" t="inlineStr">
        <is>
          <t>División simple INPC reciente / INPC anterior</t>
        </is>
      </c>
    </row>
    <row r="7">
      <c r="A7" s="8" t="inlineStr">
        <is>
          <t>Factor de Actualización (TRUNCAR a 4 dec)</t>
        </is>
      </c>
      <c r="B7" s="15">
        <f>TRUNC(B4/B5,4)</f>
        <v/>
      </c>
      <c r="C7" s="7" t="inlineStr">
        <is>
          <t>TRUNCAR(valor, 4) — trunca sin redondear, como exige el CFF</t>
        </is>
      </c>
    </row>
    <row r="9">
      <c r="A9" s="8" t="inlineStr">
        <is>
          <t>Monto Original</t>
        </is>
      </c>
      <c r="B9" s="16" t="n">
        <v>100000</v>
      </c>
    </row>
    <row r="10">
      <c r="A10" s="8" t="inlineStr">
        <is>
          <t>Monto Actualizado</t>
        </is>
      </c>
      <c r="B10" s="17">
        <f>B9*B7</f>
        <v/>
      </c>
      <c r="C10" s="7" t="inlineStr">
        <is>
          <t>Monto × Factor = Monto actualizado por inflación</t>
        </is>
      </c>
    </row>
  </sheetData>
  <mergeCells count="1"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40" customWidth="1" min="1" max="1"/>
    <col width="35" customWidth="1" min="2" max="2"/>
    <col width="15" customWidth="1" min="3" max="3"/>
    <col width="13" customWidth="1" min="4" max="4"/>
    <col width="15" customWidth="1" min="5" max="5"/>
    <col width="20" customWidth="1" min="6" max="6"/>
    <col width="20" customWidth="1" min="7" max="7"/>
  </cols>
  <sheetData>
    <row r="1">
      <c r="A1" s="1" t="inlineStr">
        <is>
          <t>Ejercicios de Cálculo ISR 2026</t>
        </is>
      </c>
    </row>
    <row r="2">
      <c r="A2" s="7" t="inlineStr">
        <is>
          <t>Calcula el ISR para cada escenario. Usa BUSCARV con la tarifa anual.</t>
        </is>
      </c>
    </row>
    <row r="3"/>
    <row r="4">
      <c r="A4" s="2" t="inlineStr">
        <is>
          <t>#</t>
        </is>
      </c>
      <c r="B4" s="2" t="inlineStr">
        <is>
          <t>Escenario</t>
        </is>
      </c>
      <c r="C4" s="2" t="inlineStr">
        <is>
          <t>Ingreso Anual</t>
        </is>
      </c>
      <c r="D4" s="2" t="inlineStr">
        <is>
          <t>Deducciones</t>
        </is>
      </c>
      <c r="E4" s="2" t="inlineStr">
        <is>
          <t>Base Gravable</t>
        </is>
      </c>
      <c r="F4" s="2" t="inlineStr">
        <is>
          <t>ISR (tu respuesta)</t>
        </is>
      </c>
      <c r="G4" s="2" t="inlineStr">
        <is>
          <t>ISR (verificación)</t>
        </is>
      </c>
    </row>
    <row r="5">
      <c r="A5" s="18" t="n">
        <v>1</v>
      </c>
      <c r="B5" s="18" t="inlineStr">
        <is>
          <t>Empleado con sueldo fijo</t>
        </is>
      </c>
      <c r="C5" s="3" t="n">
        <v>280000</v>
      </c>
      <c r="D5" s="3" t="n">
        <v>45000</v>
      </c>
      <c r="E5" s="3">
        <f>C5-D5</f>
        <v/>
      </c>
      <c r="F5" s="3" t="n"/>
      <c r="G5" s="3">
        <f>VLOOKUP(E5,Tarifa_Anual_2026,3,TRUE)+(E5-VLOOKUP(E5,Tarifa_Anual_2026,1,TRUE))*VLOOKUP(E5,Tarifa_Anual_2026,4,TRUE)</f>
        <v/>
      </c>
    </row>
    <row r="6">
      <c r="A6" s="19" t="n">
        <v>2</v>
      </c>
      <c r="B6" s="19" t="inlineStr">
        <is>
          <t>Freelancer con ingresos variables</t>
        </is>
      </c>
      <c r="C6" s="5" t="n">
        <v>520000</v>
      </c>
      <c r="D6" s="5" t="n">
        <v>120000</v>
      </c>
      <c r="E6" s="5">
        <f>C6-D6</f>
        <v/>
      </c>
      <c r="F6" s="5" t="n"/>
      <c r="G6" s="5">
        <f>VLOOKUP(E6,Tarifa_Anual_2026,3,TRUE)+(E6-VLOOKUP(E6,Tarifa_Anual_2026,1,TRUE))*VLOOKUP(E6,Tarifa_Anual_2026,4,TRUE)</f>
        <v/>
      </c>
    </row>
    <row r="7">
      <c r="A7" s="18" t="n">
        <v>3</v>
      </c>
      <c r="B7" s="18" t="inlineStr">
        <is>
          <t>Socio de empresa (dividendos)</t>
        </is>
      </c>
      <c r="C7" s="3" t="n">
        <v>1500000</v>
      </c>
      <c r="D7" s="3" t="n">
        <v>350000</v>
      </c>
      <c r="E7" s="3">
        <f>C7-D7</f>
        <v/>
      </c>
      <c r="F7" s="3" t="n"/>
      <c r="G7" s="3">
        <f>VLOOKUP(E7,Tarifa_Anual_2026,3,TRUE)+(E7-VLOOKUP(E7,Tarifa_Anual_2026,1,TRUE))*VLOOKUP(E7,Tarifa_Anual_2026,4,TRUE)</f>
        <v/>
      </c>
    </row>
    <row r="8">
      <c r="A8" s="19" t="n">
        <v>4</v>
      </c>
      <c r="B8" s="19" t="inlineStr">
        <is>
          <t>Trabajador zona fronteriza</t>
        </is>
      </c>
      <c r="C8" s="5" t="n">
        <v>180000</v>
      </c>
      <c r="D8" s="5" t="n">
        <v>30000</v>
      </c>
      <c r="E8" s="5">
        <f>C8-D8</f>
        <v/>
      </c>
      <c r="F8" s="5" t="n"/>
      <c r="G8" s="5">
        <f>VLOOKUP(E8,Tarifa_Anual_2026,3,TRUE)+(E8-VLOOKUP(E8,Tarifa_Anual_2026,1,TRUE))*VLOOKUP(E8,Tarifa_Anual_2026,4,TRUE)</f>
        <v/>
      </c>
    </row>
    <row r="9">
      <c r="A9" s="18" t="n">
        <v>5</v>
      </c>
      <c r="B9" s="18" t="inlineStr">
        <is>
          <t>Director general (ingreso alto)</t>
        </is>
      </c>
      <c r="C9" s="3" t="n">
        <v>3200000</v>
      </c>
      <c r="D9" s="3" t="n">
        <v>600000</v>
      </c>
      <c r="E9" s="3">
        <f>C9-D9</f>
        <v/>
      </c>
      <c r="F9" s="3" t="n"/>
      <c r="G9" s="3">
        <f>VLOOKUP(E9,Tarifa_Anual_2026,3,TRUE)+(E9-VLOOKUP(E9,Tarifa_Anual_2026,1,TRUE))*VLOOKUP(E9,Tarifa_Anual_2026,4,TRUE)</f>
        <v/>
      </c>
    </row>
  </sheetData>
  <mergeCells count="1"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5" customWidth="1" min="1" max="1"/>
    <col width="80" customWidth="1" min="2" max="2"/>
  </cols>
  <sheetData>
    <row r="1" ht="30" customHeight="1">
      <c r="A1" s="1" t="inlineStr">
        <is>
          <t>📋 Instrucciones</t>
        </is>
      </c>
    </row>
    <row r="3" ht="30" customHeight="1">
      <c r="A3" s="20" t="n">
        <v>1</v>
      </c>
      <c r="B3" s="21" t="inlineStr">
        <is>
          <t>Este archivo contiene la tarifa ISR 2026 oficial (Anexo 8 RMF, DOF 28-dic-2025).</t>
        </is>
      </c>
    </row>
    <row r="4" ht="32" customHeight="1">
      <c r="A4" s="20" t="n">
        <v>2</v>
      </c>
      <c r="B4" s="21" t="inlineStr">
        <is>
          <t>En la hoja 'Calculadora_ISR', cambia el valor amarillo (B4) para calcular automáticamente el ISR.</t>
        </is>
      </c>
    </row>
    <row r="5" ht="30" customHeight="1">
      <c r="A5" s="20" t="n">
        <v>3</v>
      </c>
      <c r="B5" s="21" t="inlineStr">
        <is>
          <t>Las fórmulas usan BUSCARV (VLOOKUP en inglés) para buscar el rango correcto en la tarifa.</t>
        </is>
      </c>
    </row>
    <row r="6" ht="31" customHeight="1">
      <c r="A6" s="20" t="n">
        <v>4</v>
      </c>
      <c r="B6" s="21" t="inlineStr">
        <is>
          <t>En 'Actualizacion_CFF', observa cómo TRUNCAR elimina decimales sin redondear (Art. 17-A CFF).</t>
        </is>
      </c>
    </row>
    <row r="7" ht="30" customHeight="1">
      <c r="A7" s="20" t="n">
        <v>5</v>
      </c>
      <c r="B7" s="21" t="inlineStr">
        <is>
          <t>Completa los 5 ejercicios en la hoja 'Ejercicios'. La columna G tiene la verificación.</t>
        </is>
      </c>
    </row>
    <row r="8" ht="35" customHeight="1">
      <c r="A8" s="20" t="n">
        <v>6</v>
      </c>
      <c r="B8" s="21" t="inlineStr">
        <is>
          <t>IMPORTANTE: Excel muestra las funciones en español (BUSCARV, SI, TRUNCAR) aunque se programaron en inglés.</t>
        </is>
      </c>
    </row>
    <row r="9" ht="30" customHeight="1">
      <c r="A9" s="20" t="n">
        <v>7</v>
      </c>
      <c r="B9" s="21" t="inlineStr">
        <is>
          <t>Consejo: Usa F2 para entrar a una celda y ver la fórmula en la barra de fórmulas.</t>
        </is>
      </c>
    </row>
  </sheetData>
  <mergeCells count="8">
    <mergeCell ref="B8:H8"/>
    <mergeCell ref="B9:H9"/>
    <mergeCell ref="B4:H4"/>
    <mergeCell ref="B6:H6"/>
    <mergeCell ref="B7:H7"/>
    <mergeCell ref="A1:H1"/>
    <mergeCell ref="B3:H3"/>
    <mergeCell ref="B5:H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2026-02-21T23:28:54Z</dcterms:created>
  <dcterms:modified xmlns:dcterms="http://purl.org/dc/terms/" xmlns:xsi="http://www.w3.org/2001/XMLSchema-instance" xsi:type="dcterms:W3CDTF">2026-02-21T23:28:54Z</dcterms:modified>
</cp:coreProperties>
</file>