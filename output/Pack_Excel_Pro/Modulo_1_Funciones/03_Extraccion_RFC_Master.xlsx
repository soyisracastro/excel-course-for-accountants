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cion_RFC" sheetId="1" state="visible" r:id="rId1"/>
    <sheet name="Posiciones_RFC" sheetId="2" state="visible" r:id="rId2"/>
    <sheet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Calibri"/>
      <b val="1"/>
      <color rgb="002563EB"/>
      <sz val="14"/>
    </font>
    <font>
      <name val="Calibri"/>
      <color rgb="00475569"/>
      <sz val="9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1E293B"/>
      <sz val="12"/>
    </font>
  </fonts>
  <fills count="7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8" customWidth="1" min="9" max="9"/>
    <col width="16" customWidth="1" min="10" max="10"/>
    <col width="12" customWidth="1" min="11" max="11"/>
  </cols>
  <sheetData>
    <row r="1">
      <c r="A1" s="1" t="inlineStr">
        <is>
          <t>Extracción de Componentes del RFC con EXTRAE</t>
        </is>
      </c>
    </row>
    <row r="2">
      <c r="A2" s="2" t="inlineStr">
        <is>
          <t>Usa EXTRAE (MID en inglés) para descomponer el RFC en sus partes. PF=13 chars, PM=12 chars.</t>
        </is>
      </c>
    </row>
    <row r="3"/>
    <row r="4">
      <c r="A4" s="3" t="inlineStr">
        <is>
          <t>Nombre/Razón Social</t>
        </is>
      </c>
      <c r="B4" s="3" t="inlineStr">
        <is>
          <t>RFC</t>
        </is>
      </c>
      <c r="C4" s="3" t="inlineStr">
        <is>
          <t>Tipo</t>
        </is>
      </c>
      <c r="D4" s="3" t="inlineStr">
        <is>
          <t>Letras</t>
        </is>
      </c>
      <c r="E4" s="3" t="inlineStr">
        <is>
          <t>Año (2 díg)</t>
        </is>
      </c>
      <c r="F4" s="3" t="inlineStr">
        <is>
          <t>Mes</t>
        </is>
      </c>
      <c r="G4" s="3" t="inlineStr">
        <is>
          <t>Día</t>
        </is>
      </c>
      <c r="H4" s="3" t="inlineStr">
        <is>
          <t>Año Completo</t>
        </is>
      </c>
      <c r="I4" s="3" t="inlineStr">
        <is>
          <t>Fecha Reconstruida</t>
        </is>
      </c>
      <c r="J4" s="3" t="inlineStr">
        <is>
          <t>Edad/Antigüedad</t>
        </is>
      </c>
      <c r="K4" s="3" t="inlineStr">
        <is>
          <t>Homoclave</t>
        </is>
      </c>
    </row>
    <row r="5">
      <c r="A5" s="4" t="inlineStr">
        <is>
          <t>Juan Pérez López</t>
        </is>
      </c>
      <c r="B5" s="4" t="inlineStr">
        <is>
          <t>PELJ850312AB1</t>
        </is>
      </c>
      <c r="C5" s="4" t="inlineStr">
        <is>
          <t>PF</t>
        </is>
      </c>
      <c r="D5" s="4">
        <f>MID(B5,1,4)</f>
        <v/>
      </c>
      <c r="E5" s="4">
        <f>MID(B5,5,2)</f>
        <v/>
      </c>
      <c r="F5" s="4">
        <f>MID(B5,7,2)</f>
        <v/>
      </c>
      <c r="G5" s="4">
        <f>MID(B5,9,2)</f>
        <v/>
      </c>
      <c r="H5" s="4">
        <f>IF(VALUE(E5)&gt;30,1900+VALUE(E5),2000+VALUE(E5))</f>
        <v/>
      </c>
      <c r="I5" s="5">
        <f>DATE(H5,VALUE(F5),VALUE(G5))</f>
        <v/>
      </c>
      <c r="J5" s="6">
        <f>INT((TODAY()-I5)/365.25)</f>
        <v/>
      </c>
      <c r="K5" s="4">
        <f>MID(B5,11,3)</f>
        <v/>
      </c>
    </row>
    <row r="6">
      <c r="A6" s="7" t="inlineStr">
        <is>
          <t>María García Hernández</t>
        </is>
      </c>
      <c r="B6" s="7" t="inlineStr">
        <is>
          <t>GAHM900725CD2</t>
        </is>
      </c>
      <c r="C6" s="7" t="inlineStr">
        <is>
          <t>PF</t>
        </is>
      </c>
      <c r="D6" s="7">
        <f>MID(B6,1,4)</f>
        <v/>
      </c>
      <c r="E6" s="7">
        <f>MID(B6,5,2)</f>
        <v/>
      </c>
      <c r="F6" s="7">
        <f>MID(B6,7,2)</f>
        <v/>
      </c>
      <c r="G6" s="7">
        <f>MID(B6,9,2)</f>
        <v/>
      </c>
      <c r="H6" s="7">
        <f>IF(VALUE(E6)&gt;30,1900+VALUE(E6),2000+VALUE(E6))</f>
        <v/>
      </c>
      <c r="I6" s="8">
        <f>DATE(H6,VALUE(F6),VALUE(G6))</f>
        <v/>
      </c>
      <c r="J6" s="9">
        <f>INT((TODAY()-I6)/365.25)</f>
        <v/>
      </c>
      <c r="K6" s="7">
        <f>MID(B6,11,3)</f>
        <v/>
      </c>
    </row>
    <row r="7">
      <c r="A7" s="4" t="inlineStr">
        <is>
          <t>Carlos Rodríguez Martínez</t>
        </is>
      </c>
      <c r="B7" s="4" t="inlineStr">
        <is>
          <t>ROMC780118EF3</t>
        </is>
      </c>
      <c r="C7" s="4" t="inlineStr">
        <is>
          <t>PF</t>
        </is>
      </c>
      <c r="D7" s="4">
        <f>MID(B7,1,4)</f>
        <v/>
      </c>
      <c r="E7" s="4">
        <f>MID(B7,5,2)</f>
        <v/>
      </c>
      <c r="F7" s="4">
        <f>MID(B7,7,2)</f>
        <v/>
      </c>
      <c r="G7" s="4">
        <f>MID(B7,9,2)</f>
        <v/>
      </c>
      <c r="H7" s="4">
        <f>IF(VALUE(E7)&gt;30,1900+VALUE(E7),2000+VALUE(E7))</f>
        <v/>
      </c>
      <c r="I7" s="5">
        <f>DATE(H7,VALUE(F7),VALUE(G7))</f>
        <v/>
      </c>
      <c r="J7" s="6">
        <f>INT((TODAY()-I7)/365.25)</f>
        <v/>
      </c>
      <c r="K7" s="4">
        <f>MID(B7,11,3)</f>
        <v/>
      </c>
    </row>
    <row r="8">
      <c r="A8" s="7" t="inlineStr">
        <is>
          <t>Ana López Sánchez</t>
        </is>
      </c>
      <c r="B8" s="7" t="inlineStr">
        <is>
          <t>LOSA951230GH4</t>
        </is>
      </c>
      <c r="C8" s="7" t="inlineStr">
        <is>
          <t>PF</t>
        </is>
      </c>
      <c r="D8" s="7">
        <f>MID(B8,1,4)</f>
        <v/>
      </c>
      <c r="E8" s="7">
        <f>MID(B8,5,2)</f>
        <v/>
      </c>
      <c r="F8" s="7">
        <f>MID(B8,7,2)</f>
        <v/>
      </c>
      <c r="G8" s="7">
        <f>MID(B8,9,2)</f>
        <v/>
      </c>
      <c r="H8" s="7">
        <f>IF(VALUE(E8)&gt;30,1900+VALUE(E8),2000+VALUE(E8))</f>
        <v/>
      </c>
      <c r="I8" s="8">
        <f>DATE(H8,VALUE(F8),VALUE(G8))</f>
        <v/>
      </c>
      <c r="J8" s="9">
        <f>INT((TODAY()-I8)/365.25)</f>
        <v/>
      </c>
      <c r="K8" s="7">
        <f>MID(B8,11,3)</f>
        <v/>
      </c>
    </row>
    <row r="9">
      <c r="A9" s="4" t="inlineStr">
        <is>
          <t>Pedro Díaz Torres</t>
        </is>
      </c>
      <c r="B9" s="4" t="inlineStr">
        <is>
          <t>DITP880615IJ5</t>
        </is>
      </c>
      <c r="C9" s="4" t="inlineStr">
        <is>
          <t>PF</t>
        </is>
      </c>
      <c r="D9" s="4">
        <f>MID(B9,1,4)</f>
        <v/>
      </c>
      <c r="E9" s="4">
        <f>MID(B9,5,2)</f>
        <v/>
      </c>
      <c r="F9" s="4">
        <f>MID(B9,7,2)</f>
        <v/>
      </c>
      <c r="G9" s="4">
        <f>MID(B9,9,2)</f>
        <v/>
      </c>
      <c r="H9" s="4">
        <f>IF(VALUE(E9)&gt;30,1900+VALUE(E9),2000+VALUE(E9))</f>
        <v/>
      </c>
      <c r="I9" s="5">
        <f>DATE(H9,VALUE(F9),VALUE(G9))</f>
        <v/>
      </c>
      <c r="J9" s="6">
        <f>INT((TODAY()-I9)/365.25)</f>
        <v/>
      </c>
      <c r="K9" s="4">
        <f>MID(B9,11,3)</f>
        <v/>
      </c>
    </row>
    <row r="10">
      <c r="A10" s="7" t="inlineStr">
        <is>
          <t>Laura Fernández Ruiz</t>
        </is>
      </c>
      <c r="B10" s="7" t="inlineStr">
        <is>
          <t>FERL920403KL6</t>
        </is>
      </c>
      <c r="C10" s="7" t="inlineStr">
        <is>
          <t>PF</t>
        </is>
      </c>
      <c r="D10" s="7">
        <f>MID(B10,1,4)</f>
        <v/>
      </c>
      <c r="E10" s="7">
        <f>MID(B10,5,2)</f>
        <v/>
      </c>
      <c r="F10" s="7">
        <f>MID(B10,7,2)</f>
        <v/>
      </c>
      <c r="G10" s="7">
        <f>MID(B10,9,2)</f>
        <v/>
      </c>
      <c r="H10" s="7">
        <f>IF(VALUE(E10)&gt;30,1900+VALUE(E10),2000+VALUE(E10))</f>
        <v/>
      </c>
      <c r="I10" s="8">
        <f>DATE(H10,VALUE(F10),VALUE(G10))</f>
        <v/>
      </c>
      <c r="J10" s="9">
        <f>INT((TODAY()-I10)/365.25)</f>
        <v/>
      </c>
      <c r="K10" s="7">
        <f>MID(B10,11,3)</f>
        <v/>
      </c>
    </row>
    <row r="11">
      <c r="A11" s="4" t="inlineStr">
        <is>
          <t>Miguel Castro Flores</t>
        </is>
      </c>
      <c r="B11" s="4" t="inlineStr">
        <is>
          <t>CAFM010520MN7</t>
        </is>
      </c>
      <c r="C11" s="4" t="inlineStr">
        <is>
          <t>PF</t>
        </is>
      </c>
      <c r="D11" s="4">
        <f>MID(B11,1,4)</f>
        <v/>
      </c>
      <c r="E11" s="4">
        <f>MID(B11,5,2)</f>
        <v/>
      </c>
      <c r="F11" s="4">
        <f>MID(B11,7,2)</f>
        <v/>
      </c>
      <c r="G11" s="4">
        <f>MID(B11,9,2)</f>
        <v/>
      </c>
      <c r="H11" s="4">
        <f>IF(VALUE(E11)&gt;30,1900+VALUE(E11),2000+VALUE(E11))</f>
        <v/>
      </c>
      <c r="I11" s="5">
        <f>DATE(H11,VALUE(F11),VALUE(G11))</f>
        <v/>
      </c>
      <c r="J11" s="6">
        <f>INT((TODAY()-I11)/365.25)</f>
        <v/>
      </c>
      <c r="K11" s="4">
        <f>MID(B11,11,3)</f>
        <v/>
      </c>
    </row>
    <row r="12">
      <c r="A12" s="7" t="inlineStr">
        <is>
          <t>Sofía Ramírez Vega</t>
        </is>
      </c>
      <c r="B12" s="7" t="inlineStr">
        <is>
          <t>RAVS990108OP8</t>
        </is>
      </c>
      <c r="C12" s="7" t="inlineStr">
        <is>
          <t>PF</t>
        </is>
      </c>
      <c r="D12" s="7">
        <f>MID(B12,1,4)</f>
        <v/>
      </c>
      <c r="E12" s="7">
        <f>MID(B12,5,2)</f>
        <v/>
      </c>
      <c r="F12" s="7">
        <f>MID(B12,7,2)</f>
        <v/>
      </c>
      <c r="G12" s="7">
        <f>MID(B12,9,2)</f>
        <v/>
      </c>
      <c r="H12" s="7">
        <f>IF(VALUE(E12)&gt;30,1900+VALUE(E12),2000+VALUE(E12))</f>
        <v/>
      </c>
      <c r="I12" s="8">
        <f>DATE(H12,VALUE(F12),VALUE(G12))</f>
        <v/>
      </c>
      <c r="J12" s="9">
        <f>INT((TODAY()-I12)/365.25)</f>
        <v/>
      </c>
      <c r="K12" s="7">
        <f>MID(B12,11,3)</f>
        <v/>
      </c>
    </row>
    <row r="13">
      <c r="A13" s="4" t="inlineStr">
        <is>
          <t>Roberto Morales Cruz</t>
        </is>
      </c>
      <c r="B13" s="4" t="inlineStr">
        <is>
          <t>MOCR831127QR9</t>
        </is>
      </c>
      <c r="C13" s="4" t="inlineStr">
        <is>
          <t>PF</t>
        </is>
      </c>
      <c r="D13" s="4">
        <f>MID(B13,1,4)</f>
        <v/>
      </c>
      <c r="E13" s="4">
        <f>MID(B13,5,2)</f>
        <v/>
      </c>
      <c r="F13" s="4">
        <f>MID(B13,7,2)</f>
        <v/>
      </c>
      <c r="G13" s="4">
        <f>MID(B13,9,2)</f>
        <v/>
      </c>
      <c r="H13" s="4">
        <f>IF(VALUE(E13)&gt;30,1900+VALUE(E13),2000+VALUE(E13))</f>
        <v/>
      </c>
      <c r="I13" s="5">
        <f>DATE(H13,VALUE(F13),VALUE(G13))</f>
        <v/>
      </c>
      <c r="J13" s="6">
        <f>INT((TODAY()-I13)/365.25)</f>
        <v/>
      </c>
      <c r="K13" s="4">
        <f>MID(B13,11,3)</f>
        <v/>
      </c>
    </row>
    <row r="14">
      <c r="A14" s="7" t="inlineStr">
        <is>
          <t>Elena Ortiz Jiménez</t>
        </is>
      </c>
      <c r="B14" s="7" t="inlineStr">
        <is>
          <t>OIJE870214ST0</t>
        </is>
      </c>
      <c r="C14" s="7" t="inlineStr">
        <is>
          <t>PF</t>
        </is>
      </c>
      <c r="D14" s="7">
        <f>MID(B14,1,4)</f>
        <v/>
      </c>
      <c r="E14" s="7">
        <f>MID(B14,5,2)</f>
        <v/>
      </c>
      <c r="F14" s="7">
        <f>MID(B14,7,2)</f>
        <v/>
      </c>
      <c r="G14" s="7">
        <f>MID(B14,9,2)</f>
        <v/>
      </c>
      <c r="H14" s="7">
        <f>IF(VALUE(E14)&gt;30,1900+VALUE(E14),2000+VALUE(E14))</f>
        <v/>
      </c>
      <c r="I14" s="8">
        <f>DATE(H14,VALUE(F14),VALUE(G14))</f>
        <v/>
      </c>
      <c r="J14" s="9">
        <f>INT((TODAY()-I14)/365.25)</f>
        <v/>
      </c>
      <c r="K14" s="7">
        <f>MID(B14,11,3)</f>
        <v/>
      </c>
    </row>
    <row r="15">
      <c r="A15" s="4" t="inlineStr">
        <is>
          <t>Comercializadora del Pacífico SA de CV</t>
        </is>
      </c>
      <c r="B15" s="4" t="inlineStr">
        <is>
          <t>CPA150610UV1</t>
        </is>
      </c>
      <c r="C15" s="4" t="inlineStr">
        <is>
          <t>PM</t>
        </is>
      </c>
      <c r="D15" s="4">
        <f>MID(B15,1,3)</f>
        <v/>
      </c>
      <c r="E15" s="4">
        <f>MID(B15,4,2)</f>
        <v/>
      </c>
      <c r="F15" s="4">
        <f>MID(B15,6,2)</f>
        <v/>
      </c>
      <c r="G15" s="4">
        <f>MID(B15,8,2)</f>
        <v/>
      </c>
      <c r="H15" s="4">
        <f>IF(VALUE(E15)&gt;30,1900+VALUE(E15),2000+VALUE(E15))</f>
        <v/>
      </c>
      <c r="I15" s="5">
        <f>DATE(H15,VALUE(F15),VALUE(G15))</f>
        <v/>
      </c>
      <c r="J15" s="6">
        <f>INT((TODAY()-I15)/365.25)</f>
        <v/>
      </c>
      <c r="K15" s="4">
        <f>MID(B15,10,3)</f>
        <v/>
      </c>
    </row>
    <row r="16">
      <c r="A16" s="7" t="inlineStr">
        <is>
          <t>Grupo Industrial Norteño SA</t>
        </is>
      </c>
      <c r="B16" s="7" t="inlineStr">
        <is>
          <t>GIN080923WX2</t>
        </is>
      </c>
      <c r="C16" s="7" t="inlineStr">
        <is>
          <t>PM</t>
        </is>
      </c>
      <c r="D16" s="7">
        <f>MID(B16,1,3)</f>
        <v/>
      </c>
      <c r="E16" s="7">
        <f>MID(B16,4,2)</f>
        <v/>
      </c>
      <c r="F16" s="7">
        <f>MID(B16,6,2)</f>
        <v/>
      </c>
      <c r="G16" s="7">
        <f>MID(B16,8,2)</f>
        <v/>
      </c>
      <c r="H16" s="7">
        <f>IF(VALUE(E16)&gt;30,1900+VALUE(E16),2000+VALUE(E16))</f>
        <v/>
      </c>
      <c r="I16" s="8">
        <f>DATE(H16,VALUE(F16),VALUE(G16))</f>
        <v/>
      </c>
      <c r="J16" s="9">
        <f>INT((TODAY()-I16)/365.25)</f>
        <v/>
      </c>
      <c r="K16" s="7">
        <f>MID(B16,10,3)</f>
        <v/>
      </c>
    </row>
    <row r="17">
      <c r="A17" s="4" t="inlineStr">
        <is>
          <t>Servicios Digitales Mx SC</t>
        </is>
      </c>
      <c r="B17" s="4" t="inlineStr">
        <is>
          <t>SDM200315YZ3</t>
        </is>
      </c>
      <c r="C17" s="4" t="inlineStr">
        <is>
          <t>PM</t>
        </is>
      </c>
      <c r="D17" s="4">
        <f>MID(B17,1,3)</f>
        <v/>
      </c>
      <c r="E17" s="4">
        <f>MID(B17,4,2)</f>
        <v/>
      </c>
      <c r="F17" s="4">
        <f>MID(B17,6,2)</f>
        <v/>
      </c>
      <c r="G17" s="4">
        <f>MID(B17,8,2)</f>
        <v/>
      </c>
      <c r="H17" s="4">
        <f>IF(VALUE(E17)&gt;30,1900+VALUE(E17),2000+VALUE(E17))</f>
        <v/>
      </c>
      <c r="I17" s="5">
        <f>DATE(H17,VALUE(F17),VALUE(G17))</f>
        <v/>
      </c>
      <c r="J17" s="6">
        <f>INT((TODAY()-I17)/365.25)</f>
        <v/>
      </c>
      <c r="K17" s="4">
        <f>MID(B17,10,3)</f>
        <v/>
      </c>
    </row>
    <row r="18">
      <c r="A18" s="7" t="inlineStr">
        <is>
          <t>Transportes Nacionales SA de CV</t>
        </is>
      </c>
      <c r="B18" s="7" t="inlineStr">
        <is>
          <t>TNA170801AB4</t>
        </is>
      </c>
      <c r="C18" s="7" t="inlineStr">
        <is>
          <t>PM</t>
        </is>
      </c>
      <c r="D18" s="7">
        <f>MID(B18,1,3)</f>
        <v/>
      </c>
      <c r="E18" s="7">
        <f>MID(B18,4,2)</f>
        <v/>
      </c>
      <c r="F18" s="7">
        <f>MID(B18,6,2)</f>
        <v/>
      </c>
      <c r="G18" s="7">
        <f>MID(B18,8,2)</f>
        <v/>
      </c>
      <c r="H18" s="7">
        <f>IF(VALUE(E18)&gt;30,1900+VALUE(E18),2000+VALUE(E18))</f>
        <v/>
      </c>
      <c r="I18" s="8">
        <f>DATE(H18,VALUE(F18),VALUE(G18))</f>
        <v/>
      </c>
      <c r="J18" s="9">
        <f>INT((TODAY()-I18)/365.25)</f>
        <v/>
      </c>
      <c r="K18" s="7">
        <f>MID(B18,10,3)</f>
        <v/>
      </c>
    </row>
    <row r="19">
      <c r="A19" s="4" t="inlineStr">
        <is>
          <t>Constructora Vega y Asociados SC</t>
        </is>
      </c>
      <c r="B19" s="4" t="inlineStr">
        <is>
          <t>CVA190412CD5</t>
        </is>
      </c>
      <c r="C19" s="4" t="inlineStr">
        <is>
          <t>PM</t>
        </is>
      </c>
      <c r="D19" s="4">
        <f>MID(B19,1,3)</f>
        <v/>
      </c>
      <c r="E19" s="4">
        <f>MID(B19,4,2)</f>
        <v/>
      </c>
      <c r="F19" s="4">
        <f>MID(B19,6,2)</f>
        <v/>
      </c>
      <c r="G19" s="4">
        <f>MID(B19,8,2)</f>
        <v/>
      </c>
      <c r="H19" s="4">
        <f>IF(VALUE(E19)&gt;30,1900+VALUE(E19),2000+VALUE(E19))</f>
        <v/>
      </c>
      <c r="I19" s="5">
        <f>DATE(H19,VALUE(F19),VALUE(G19))</f>
        <v/>
      </c>
      <c r="J19" s="6">
        <f>INT((TODAY()-I19)/365.25)</f>
        <v/>
      </c>
      <c r="K19" s="4">
        <f>MID(B19,10,3)</f>
        <v/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Diagrama de Posiciones del RFC</t>
        </is>
      </c>
    </row>
    <row r="3">
      <c r="A3" s="10" t="inlineStr">
        <is>
          <t>Persona Física (13 caracteres):</t>
        </is>
      </c>
    </row>
    <row r="4">
      <c r="A4" s="11" t="inlineStr">
        <is>
          <t>Pos 1</t>
        </is>
      </c>
      <c r="B4" s="11" t="inlineStr">
        <is>
          <t>Pos 2</t>
        </is>
      </c>
      <c r="C4" s="11" t="inlineStr">
        <is>
          <t>Pos 3</t>
        </is>
      </c>
      <c r="D4" s="11" t="inlineStr">
        <is>
          <t>Pos 4</t>
        </is>
      </c>
      <c r="E4" s="11" t="inlineStr">
        <is>
          <t>Pos 5</t>
        </is>
      </c>
      <c r="F4" s="11" t="inlineStr">
        <is>
          <t>Pos 6</t>
        </is>
      </c>
      <c r="G4" s="11" t="inlineStr">
        <is>
          <t>Pos 7</t>
        </is>
      </c>
      <c r="H4" s="11" t="inlineStr">
        <is>
          <t>Pos 8</t>
        </is>
      </c>
      <c r="I4" s="11" t="inlineStr">
        <is>
          <t>Pos 9</t>
        </is>
      </c>
      <c r="J4" s="11" t="inlineStr">
        <is>
          <t>Pos 10</t>
        </is>
      </c>
      <c r="K4" s="11" t="inlineStr">
        <is>
          <t>Pos 11</t>
        </is>
      </c>
      <c r="L4" s="11" t="inlineStr">
        <is>
          <t>Pos 12</t>
        </is>
      </c>
      <c r="M4" s="11" t="inlineStr">
        <is>
          <t>Pos 13</t>
        </is>
      </c>
    </row>
    <row r="5">
      <c r="A5" s="11" t="inlineStr">
        <is>
          <t>Letra</t>
        </is>
      </c>
      <c r="B5" s="11" t="inlineStr">
        <is>
          <t>Letra</t>
        </is>
      </c>
      <c r="C5" s="11" t="inlineStr">
        <is>
          <t>Letra</t>
        </is>
      </c>
      <c r="D5" s="11" t="inlineStr">
        <is>
          <t>Letra</t>
        </is>
      </c>
      <c r="E5" s="11" t="inlineStr">
        <is>
          <t>Año</t>
        </is>
      </c>
      <c r="F5" s="11" t="inlineStr">
        <is>
          <t>Año</t>
        </is>
      </c>
      <c r="G5" s="11" t="inlineStr">
        <is>
          <t>Mes</t>
        </is>
      </c>
      <c r="H5" s="11" t="inlineStr">
        <is>
          <t>Mes</t>
        </is>
      </c>
      <c r="I5" s="11" t="inlineStr">
        <is>
          <t>Día</t>
        </is>
      </c>
      <c r="J5" s="11" t="inlineStr">
        <is>
          <t>Día</t>
        </is>
      </c>
      <c r="K5" s="11" t="inlineStr">
        <is>
          <t>Homo</t>
        </is>
      </c>
      <c r="L5" s="11" t="inlineStr">
        <is>
          <t>Homo</t>
        </is>
      </c>
      <c r="M5" s="11" t="inlineStr">
        <is>
          <t>Homo</t>
        </is>
      </c>
    </row>
    <row r="6">
      <c r="A6" s="12" t="inlineStr">
        <is>
          <t>P</t>
        </is>
      </c>
      <c r="B6" s="12" t="inlineStr">
        <is>
          <t>E</t>
        </is>
      </c>
      <c r="C6" s="12" t="inlineStr">
        <is>
          <t>L</t>
        </is>
      </c>
      <c r="D6" s="12" t="inlineStr">
        <is>
          <t>J</t>
        </is>
      </c>
      <c r="E6" s="13" t="inlineStr">
        <is>
          <t>8</t>
        </is>
      </c>
      <c r="F6" s="13" t="inlineStr">
        <is>
          <t>5</t>
        </is>
      </c>
      <c r="G6" s="13" t="inlineStr">
        <is>
          <t>0</t>
        </is>
      </c>
      <c r="H6" s="13" t="inlineStr">
        <is>
          <t>3</t>
        </is>
      </c>
      <c r="I6" s="13" t="inlineStr">
        <is>
          <t>1</t>
        </is>
      </c>
      <c r="J6" s="13" t="inlineStr">
        <is>
          <t>2</t>
        </is>
      </c>
      <c r="K6" s="14" t="inlineStr">
        <is>
          <t>A</t>
        </is>
      </c>
      <c r="L6" s="14" t="inlineStr">
        <is>
          <t>B</t>
        </is>
      </c>
      <c r="M6" s="14" t="inlineStr">
        <is>
          <t>1</t>
        </is>
      </c>
    </row>
    <row r="8">
      <c r="A8" s="10" t="inlineStr">
        <is>
          <t>Persona Moral (12 caracteres):</t>
        </is>
      </c>
    </row>
    <row r="9">
      <c r="A9" s="11" t="inlineStr">
        <is>
          <t>Pos 1</t>
        </is>
      </c>
      <c r="B9" s="11" t="inlineStr">
        <is>
          <t>Pos 2</t>
        </is>
      </c>
      <c r="C9" s="11" t="inlineStr">
        <is>
          <t>Pos 3</t>
        </is>
      </c>
      <c r="D9" s="11" t="inlineStr">
        <is>
          <t>Pos 4</t>
        </is>
      </c>
      <c r="E9" s="11" t="inlineStr">
        <is>
          <t>Pos 5</t>
        </is>
      </c>
      <c r="F9" s="11" t="inlineStr">
        <is>
          <t>Pos 6</t>
        </is>
      </c>
      <c r="G9" s="11" t="inlineStr">
        <is>
          <t>Pos 7</t>
        </is>
      </c>
      <c r="H9" s="11" t="inlineStr">
        <is>
          <t>Pos 8</t>
        </is>
      </c>
      <c r="I9" s="11" t="inlineStr">
        <is>
          <t>Pos 9</t>
        </is>
      </c>
      <c r="J9" s="11" t="inlineStr">
        <is>
          <t>Pos 10</t>
        </is>
      </c>
      <c r="K9" s="11" t="inlineStr">
        <is>
          <t>Pos 11</t>
        </is>
      </c>
      <c r="L9" s="11" t="inlineStr">
        <is>
          <t>Pos 12</t>
        </is>
      </c>
    </row>
    <row r="10">
      <c r="A10" s="11" t="inlineStr">
        <is>
          <t>Letra</t>
        </is>
      </c>
      <c r="B10" s="11" t="inlineStr">
        <is>
          <t>Letra</t>
        </is>
      </c>
      <c r="C10" s="11" t="inlineStr">
        <is>
          <t>Letra</t>
        </is>
      </c>
      <c r="D10" s="11" t="inlineStr">
        <is>
          <t>Año</t>
        </is>
      </c>
      <c r="E10" s="11" t="inlineStr">
        <is>
          <t>Año</t>
        </is>
      </c>
      <c r="F10" s="11" t="inlineStr">
        <is>
          <t>Mes</t>
        </is>
      </c>
      <c r="G10" s="11" t="inlineStr">
        <is>
          <t>Mes</t>
        </is>
      </c>
      <c r="H10" s="11" t="inlineStr">
        <is>
          <t>Día</t>
        </is>
      </c>
      <c r="I10" s="11" t="inlineStr">
        <is>
          <t>Día</t>
        </is>
      </c>
      <c r="J10" s="11" t="inlineStr">
        <is>
          <t>Homo</t>
        </is>
      </c>
      <c r="K10" s="11" t="inlineStr">
        <is>
          <t>Homo</t>
        </is>
      </c>
      <c r="L10" s="11" t="inlineStr">
        <is>
          <t>Homo</t>
        </is>
      </c>
    </row>
    <row r="11">
      <c r="A11" s="12" t="inlineStr">
        <is>
          <t>C</t>
        </is>
      </c>
      <c r="B11" s="12" t="inlineStr">
        <is>
          <t>P</t>
        </is>
      </c>
      <c r="C11" s="12" t="inlineStr">
        <is>
          <t>A</t>
        </is>
      </c>
      <c r="D11" s="13" t="inlineStr">
        <is>
          <t>1</t>
        </is>
      </c>
      <c r="E11" s="13" t="inlineStr">
        <is>
          <t>5</t>
        </is>
      </c>
      <c r="F11" s="13" t="inlineStr">
        <is>
          <t>0</t>
        </is>
      </c>
      <c r="G11" s="13" t="inlineStr">
        <is>
          <t>6</t>
        </is>
      </c>
      <c r="H11" s="13" t="inlineStr">
        <is>
          <t>1</t>
        </is>
      </c>
      <c r="I11" s="13" t="inlineStr">
        <is>
          <t>0</t>
        </is>
      </c>
      <c r="J11" s="14" t="inlineStr">
        <is>
          <t>U</t>
        </is>
      </c>
      <c r="K11" s="14" t="inlineStr">
        <is>
          <t>V</t>
        </is>
      </c>
      <c r="L11" s="14" t="inlineStr">
        <is>
          <t>1</t>
        </is>
      </c>
    </row>
    <row r="13">
      <c r="A13" s="2" t="inlineStr">
        <is>
          <t>Azul = Letras identificadoras</t>
        </is>
      </c>
    </row>
    <row r="14">
      <c r="A14" s="2" t="inlineStr">
        <is>
          <t>Verde = Fecha (AAMMDD)</t>
        </is>
      </c>
    </row>
    <row r="15">
      <c r="A15" s="2" t="inlineStr">
        <is>
          <t>Amarillo = Homoclave (asignada por SAT)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 ht="30" customHeight="1">
      <c r="A1" s="1" t="inlineStr">
        <is>
          <t>📋 Instrucciones</t>
        </is>
      </c>
    </row>
    <row r="3" ht="30" customHeight="1">
      <c r="A3" s="15" t="n">
        <v>1</v>
      </c>
      <c r="B3" s="16" t="inlineStr">
        <is>
          <t>Este archivo practica la función EXTRAE (MID) para descomponer el RFC.</t>
        </is>
      </c>
    </row>
    <row r="4" ht="30" customHeight="1">
      <c r="A4" s="15" t="n">
        <v>2</v>
      </c>
      <c r="B4" s="16" t="inlineStr">
        <is>
          <t>PF (Persona Física) tiene 13 caracteres: 4 letras + 6 dígitos fecha + 3 homoclave.</t>
        </is>
      </c>
    </row>
    <row r="5" ht="30" customHeight="1">
      <c r="A5" s="15" t="n">
        <v>3</v>
      </c>
      <c r="B5" s="16" t="inlineStr">
        <is>
          <t>PM (Persona Moral) tiene 12 caracteres: 3 letras + 6 dígitos fecha + 3 homoclave.</t>
        </is>
      </c>
    </row>
    <row r="6" ht="30" customHeight="1">
      <c r="A6" s="15" t="n">
        <v>4</v>
      </c>
      <c r="B6" s="16" t="inlineStr">
        <is>
          <t>La hoja 'Posiciones_RFC' muestra un diagrama visual de las posiciones.</t>
        </is>
      </c>
    </row>
    <row r="7" ht="30" customHeight="1">
      <c r="A7" s="15" t="n">
        <v>5</v>
      </c>
      <c r="B7" s="16" t="inlineStr">
        <is>
          <t>EXTRAE(texto, posición_inicial, número_caracteres) extrae caracteres de un texto.</t>
        </is>
      </c>
    </row>
    <row r="8" ht="30" customHeight="1">
      <c r="A8" s="15" t="n">
        <v>6</v>
      </c>
      <c r="B8" s="16" t="inlineStr">
        <is>
          <t>La fecha se reconstruye con FECHA(año, mes, día) y se compara con HOY() para calcular edad.</t>
        </is>
      </c>
    </row>
    <row r="9" ht="30" customHeight="1">
      <c r="A9" s="15" t="n">
        <v>7</v>
      </c>
      <c r="B9" s="16" t="inlineStr">
        <is>
          <t>Los RFCs en este archivo son ficticios pero siguen la estructura real del SAT.</t>
        </is>
      </c>
    </row>
  </sheetData>
  <mergeCells count="8">
    <mergeCell ref="B8:H8"/>
    <mergeCell ref="B9:H9"/>
    <mergeCell ref="B4:H4"/>
    <mergeCell ref="B6:H6"/>
    <mergeCell ref="B7:H7"/>
    <mergeCell ref="A1:H1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2026-02-24T09:02:06Z</dcterms:created>
  <dcterms:modified xsi:type="dcterms:W3CDTF">2026-02-24T09:02:06Z</dcterms:modified>
</cp:coreProperties>
</file>